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kzonobel-my.sharepoint.com/personal/ramakant_paul_akzonobel_com/Documents/Documents/JSW_packaging/Models/"/>
    </mc:Choice>
  </mc:AlternateContent>
  <xr:revisionPtr revIDLastSave="83" documentId="11_6F92B51351D3DACCDC5678D4262C2D5B9F887908" xr6:coauthVersionLast="47" xr6:coauthVersionMax="47" xr10:uidLastSave="{62CA0EFA-33B5-4680-A2B0-83193FE59633}"/>
  <bookViews>
    <workbookView xWindow="-110" yWindow="-110" windowWidth="19420" windowHeight="11500" tabRatio="500" firstSheet="4" activeTab="4" xr2:uid="{00000000-000D-0000-FFFF-FFFF00000000}"/>
  </bookViews>
  <sheets>
    <sheet name="📋 Instructions" sheetId="1" r:id="rId1"/>
    <sheet name="🏪 Dealer_Retailer" sheetId="2" r:id="rId2"/>
    <sheet name="🔨 Contractor" sheetId="3" r:id="rId3"/>
    <sheet name="🏭 Distributor_Wholesaler" sheetId="4" r:id="rId4"/>
    <sheet name="👤 Customer" sheetId="5" r:id="rId5"/>
    <sheet name="📊 Brand_Mention_Freq" sheetId="6" r:id="rId6"/>
    <sheet name="🔢 Sentiment_Coding" sheetId="7" r:id="rId7"/>
    <sheet name="🏆 Master_Benchmark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35" i="5" l="1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P35" i="5"/>
  <c r="E74" i="7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5" i="5"/>
  <c r="S5" i="7"/>
  <c r="S4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R74" i="7"/>
  <c r="O74" i="7"/>
  <c r="P74" i="7"/>
  <c r="Q74" i="7"/>
  <c r="N74" i="7"/>
  <c r="M74" i="7"/>
  <c r="J74" i="7"/>
  <c r="K74" i="7"/>
  <c r="L74" i="7"/>
  <c r="J11" i="8"/>
  <c r="H11" i="8"/>
  <c r="G11" i="8"/>
  <c r="F11" i="8"/>
  <c r="E11" i="8"/>
  <c r="D11" i="8"/>
  <c r="C11" i="8"/>
  <c r="B11" i="8"/>
  <c r="I8" i="8"/>
  <c r="K8" i="8" s="1"/>
  <c r="I7" i="8"/>
  <c r="K7" i="8" s="1"/>
  <c r="I6" i="8"/>
  <c r="K6" i="8" s="1"/>
  <c r="I5" i="8"/>
  <c r="I11" i="8" s="1"/>
  <c r="I74" i="7"/>
  <c r="H74" i="7"/>
  <c r="G74" i="7"/>
  <c r="F74" i="7"/>
  <c r="E14" i="6"/>
  <c r="D14" i="6"/>
  <c r="C14" i="6"/>
  <c r="B14" i="6"/>
  <c r="K13" i="6"/>
  <c r="J13" i="6"/>
  <c r="I13" i="6"/>
  <c r="H13" i="6"/>
  <c r="G13" i="6"/>
  <c r="F13" i="6"/>
  <c r="K12" i="6"/>
  <c r="J12" i="6"/>
  <c r="I12" i="6"/>
  <c r="H12" i="6"/>
  <c r="G12" i="6"/>
  <c r="F12" i="6"/>
  <c r="K11" i="6"/>
  <c r="J11" i="6"/>
  <c r="I11" i="6"/>
  <c r="H11" i="6"/>
  <c r="G11" i="6"/>
  <c r="F11" i="6"/>
  <c r="K10" i="6"/>
  <c r="J10" i="6"/>
  <c r="I10" i="6"/>
  <c r="H10" i="6"/>
  <c r="G10" i="6"/>
  <c r="F10" i="6"/>
  <c r="K9" i="6"/>
  <c r="J9" i="6"/>
  <c r="I9" i="6"/>
  <c r="H9" i="6"/>
  <c r="G9" i="6"/>
  <c r="F9" i="6"/>
  <c r="K8" i="6"/>
  <c r="J8" i="6"/>
  <c r="I8" i="6"/>
  <c r="H8" i="6"/>
  <c r="G8" i="6"/>
  <c r="F8" i="6"/>
  <c r="K7" i="6"/>
  <c r="J7" i="6"/>
  <c r="I7" i="6"/>
  <c r="H7" i="6"/>
  <c r="G7" i="6"/>
  <c r="F7" i="6"/>
  <c r="K6" i="6"/>
  <c r="J6" i="6"/>
  <c r="I6" i="6"/>
  <c r="H6" i="6"/>
  <c r="G6" i="6"/>
  <c r="F6" i="6"/>
  <c r="K5" i="6"/>
  <c r="J5" i="6"/>
  <c r="I5" i="6"/>
  <c r="H5" i="6"/>
  <c r="G5" i="6"/>
  <c r="F5" i="6"/>
  <c r="K4" i="6"/>
  <c r="J4" i="6"/>
  <c r="I4" i="6"/>
  <c r="H4" i="6"/>
  <c r="G4" i="6"/>
  <c r="F4" i="6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14" i="4"/>
  <c r="A13" i="4"/>
  <c r="A12" i="4"/>
  <c r="A11" i="4"/>
  <c r="A10" i="4"/>
  <c r="A9" i="4"/>
  <c r="A8" i="4"/>
  <c r="A7" i="4"/>
  <c r="A6" i="4"/>
  <c r="A5" i="4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S74" i="7" l="1"/>
  <c r="K5" i="8"/>
  <c r="K11" i="8" s="1"/>
</calcChain>
</file>

<file path=xl/sharedStrings.xml><?xml version="1.0" encoding="utf-8"?>
<sst xmlns="http://schemas.openxmlformats.org/spreadsheetml/2006/main" count="232" uniqueCount="181">
  <si>
    <t>🎨  PAINT PACKAGING BENCHMARKING — QUALITATIVE RESEARCH DATA COLLECTION TOOL</t>
  </si>
  <si>
    <t>📌  ABOUT THIS WORKBOOK</t>
  </si>
  <si>
    <t>Project</t>
  </si>
  <si>
    <t>Product Packaging Revision &amp; Relaunch — Vanguards Management Trainee Program</t>
  </si>
  <si>
    <t>Brands Benchmarked</t>
  </si>
  <si>
    <t>Asian Paints | Birla Opus | Dulux Paints | JSW Paints</t>
  </si>
  <si>
    <t>Methodology</t>
  </si>
  <si>
    <t>Semi-Structured Depth Interviews (SSDI) with Key Informants (KIs)</t>
  </si>
  <si>
    <t>Research Design</t>
  </si>
  <si>
    <t>Funnel Technique — Broad → Narrow → Specific</t>
  </si>
  <si>
    <t>📂  SHEET GUIDE</t>
  </si>
  <si>
    <t>🏪 Dealer_Retailer</t>
  </si>
  <si>
    <t>Record responses from 15–20 dealer/retailer interviews. 15 questions across 5 sections.</t>
  </si>
  <si>
    <t>🔨 Contractor</t>
  </si>
  <si>
    <t>Record responses from 15–20 contractor/painter interviews. 8 questions across 3 sections.</t>
  </si>
  <si>
    <t>🏭 Distributor_Wholesaler</t>
  </si>
  <si>
    <t>Record responses from 5–10 distributor/wholesaler interviews. 5 questions.</t>
  </si>
  <si>
    <t>👤 Customer</t>
  </si>
  <si>
    <t>Record responses from 20–30 end-customer interviews. 5 quick questions.</t>
  </si>
  <si>
    <t>📊 Brand_Mention_Freq</t>
  </si>
  <si>
    <t>Auto-tallies how many times each brand is mentioned per question across all sheets.</t>
  </si>
  <si>
    <t>🔢 Sentiment_Coding</t>
  </si>
  <si>
    <t>Enter sentiment scores (1–10) per respondent per dimension. Auto-averages.</t>
  </si>
  <si>
    <t>🏆 Master_Benchmark</t>
  </si>
  <si>
    <t>Auto-calculated final benchmarking matrix with Indices for all 4 brands.</t>
  </si>
  <si>
    <t>🖊️  HOW TO USE — DATA ENTRY</t>
  </si>
  <si>
    <t>Step 1</t>
  </si>
  <si>
    <t>Open the relevant stakeholder sheet (Dealer, Contractor, Distributor, or Customer).</t>
  </si>
  <si>
    <t>Step 2</t>
  </si>
  <si>
    <t>Each row = one respondent. Fill in Name/ID, Location, Date.</t>
  </si>
  <si>
    <t>Step 3</t>
  </si>
  <si>
    <t>During/after interview, type the respondent's answer in the response column.</t>
  </si>
  <si>
    <t>Step 4</t>
  </si>
  <si>
    <t>In the Brand Mentioned column, select which brand(s) they mentioned (dropdown).</t>
  </si>
  <si>
    <t>Step 5</t>
  </si>
  <si>
    <t>After the interview, go to Sentiment_Coding sheet and score that respondent 1–10.</t>
  </si>
  <si>
    <t>Step 6</t>
  </si>
  <si>
    <t>All summary tabs (Brand_Mention_Freq, Master_Benchmark) auto-update via formulas.</t>
  </si>
  <si>
    <t>Step 7</t>
  </si>
  <si>
    <t>Use the Master_Benchmark sheet for final PPT insights and index scores.</t>
  </si>
  <si>
    <t>📏  SCORING METHODS USED</t>
  </si>
  <si>
    <t>Method 1 — Brand Mention Frequency</t>
  </si>
  <si>
    <t>Counts how many KIs mentioned each brand per question. Score = (Mentions ÷ Max Mentions) × 10</t>
  </si>
  <si>
    <t>Method 2 — Sentiment Coding</t>
  </si>
  <si>
    <t>You rate each response 1–10 using the codebook (Best=10, Excellent=9, Very Good=8 ... Very Poor=1).</t>
  </si>
  <si>
    <t>Method 3 — Ranking Score</t>
  </si>
  <si>
    <t>If respondent ranked brands, Rank 1 = 5 pts, Rank 2 = 3 pts, Rank 3 = 1 pt. Aggregated.</t>
  </si>
  <si>
    <t>Final Index Score</t>
  </si>
  <si>
    <t>Average of Sentiment Score × 0.5 + Mention Frequency Score × 0.3 + Ranking Score × 0.2</t>
  </si>
  <si>
    <t>📋  🏪 DEALER RETAILER — INTERVIEW DATA COLLECTION</t>
  </si>
  <si>
    <t>INSTRUCTIONS: Fill one row per respondent. Type verbatim responses in Q columns. Select brand mentioned from dropdown. Complete Sentiment_Coding sheet after each interview.</t>
  </si>
  <si>
    <t>RESPONDENT INFO</t>
  </si>
  <si>
    <t>SECTION 1: Market Understanding</t>
  </si>
  <si>
    <t>SECTION 2: Packaging Visibility</t>
  </si>
  <si>
    <t>SECTION 3: Product Understanding</t>
  </si>
  <si>
    <t>SECTION 4: Premium Perception</t>
  </si>
  <si>
    <t>SECTION 5: Recommendation Behavior</t>
  </si>
  <si>
    <t>CODING &amp; NOTES</t>
  </si>
  <si>
    <t>Resp. ID</t>
  </si>
  <si>
    <t>Respondent Name</t>
  </si>
  <si>
    <t>Location / Area</t>
  </si>
  <si>
    <t>Interview Date</t>
  </si>
  <si>
    <t>Market Segment</t>
  </si>
  <si>
    <t>Q1: Which paint brands move fastest in your store?</t>
  </si>
  <si>
    <t>Q2: Which brands are easiest to recommend? Why?</t>
  </si>
  <si>
    <t>Q3: Which segment has highest demand? (Super Luxury/Luxury/Premium/Economy/Value)</t>
  </si>
  <si>
    <t>Q4: When a customer looks at the paint shelf, which brand do they notice FIRST? Why?</t>
  </si>
  <si>
    <t>Q5: Which packaging stands out the most? Why?</t>
  </si>
  <si>
    <t>Q6: Which packaging gets ignored? Why?</t>
  </si>
  <si>
    <t>Q7: Which brand is easiest for customers to understand?</t>
  </si>
  <si>
    <t>Q8: Which brand has confusing products or variants?</t>
  </si>
  <si>
    <t>Q9: Do customers ask questions because packaging is unclear? Which brands?</t>
  </si>
  <si>
    <t>Q10: Which brand looks most premium? Why?</t>
  </si>
  <si>
    <t>Q11: Which packaging creates the highest trust? Why?</t>
  </si>
  <si>
    <t>Q12: Which packaging looks most modern?</t>
  </si>
  <si>
    <t>Q13: Does packaging help you sell the product? How?</t>
  </si>
  <si>
    <t>Q14: Which packaging makes your explanation easier?</t>
  </si>
  <si>
    <t>Q15: If you could improve ONE thing in paint packaging, what would it be?</t>
  </si>
  <si>
    <t>Primary Brand Mentioned</t>
  </si>
  <si>
    <t>Ranking Given (1st Brand)</t>
  </si>
  <si>
    <t>Interviewer Notes / Key Quotes</t>
  </si>
  <si>
    <t>📋  🔨 CONTRACTOR — INTERVIEW DATA COLLECTION</t>
  </si>
  <si>
    <t>SECTION 1: Brand Recognition</t>
  </si>
  <si>
    <t>SECTION 2: Product Clarity</t>
  </si>
  <si>
    <t>SECTION 3: Quality &amp; Trust</t>
  </si>
  <si>
    <t>Q1: Which brand do you identify fastest on site?</t>
  </si>
  <si>
    <t>Q2: Which packs are easiest to recognize from a distance?</t>
  </si>
  <si>
    <t>Q3: Which products are often confused with others?</t>
  </si>
  <si>
    <t>Q4: Which packaging helps you identify Interior/Exterior/Primer/Putty most quickly?</t>
  </si>
  <si>
    <t>Q5: Which brand has the clearest product naming?</t>
  </si>
  <si>
    <t>Q6: Which packaging looks high quality?</t>
  </si>
  <si>
    <t>Q7: Which packaging gives confidence before use?</t>
  </si>
  <si>
    <t>Q8: Which packaging looks outdated?</t>
  </si>
  <si>
    <t>📋  🏭 DISTRIBUTOR WHOLESALER — INTERVIEW DATA COLLECTION</t>
  </si>
  <si>
    <t>SKU ARCHITECTURE</t>
  </si>
  <si>
    <t>WAREHOUSE OPS</t>
  </si>
  <si>
    <t>VISUAL CONSISTENCY</t>
  </si>
  <si>
    <t>Q1: Which company has the most organized packaging portfolio?</t>
  </si>
  <si>
    <t>Q2: Which brand has the clearest SKU differentiation?</t>
  </si>
  <si>
    <t>Q3: Which brand creates inventory confusion?</t>
  </si>
  <si>
    <t>Q4: Which packaging is easiest to identify in warehouses?</t>
  </si>
  <si>
    <t>Q5: Which company has the strongest visual consistency across SKUs?</t>
  </si>
  <si>
    <t>📋  👤 CUSTOMER — INTERVIEW DATA COLLECTION</t>
  </si>
  <si>
    <t>CUSTOMER PERCEPTION</t>
  </si>
  <si>
    <t>PURCHASE INTENT</t>
  </si>
  <si>
    <t>Q1: Which packaging catches your attention first?</t>
  </si>
  <si>
    <t>Q2: Which packaging looks premium?</t>
  </si>
  <si>
    <t>Q3: Which packaging would make you trust the product?</t>
  </si>
  <si>
    <t>Q4: Which packaging is easiest to understand?</t>
  </si>
  <si>
    <t>Q5: Which packaging would you choose and why?</t>
  </si>
  <si>
    <t>📊  BRAND MENTION FREQUENCY TRACKER — Auto-tallied from all interview sheets</t>
  </si>
  <si>
    <t>This sheet auto-counts how many respondents mentioned each brand per dimension. COUNTIF formulas pull from Brand Mentioned columns in each interview sheet.</t>
  </si>
  <si>
    <t>Dimension / Question Theme</t>
  </si>
  <si>
    <t>Asian Paints
Mentions</t>
  </si>
  <si>
    <t>Birla Opus
Mentions</t>
  </si>
  <si>
    <t>Dulux Paints
Mentions</t>
  </si>
  <si>
    <t>JSW Paints
Mentions</t>
  </si>
  <si>
    <t>Total
Mentions</t>
  </si>
  <si>
    <t>AP Score
(/10)</t>
  </si>
  <si>
    <t>BO Score
(/10)</t>
  </si>
  <si>
    <t>DP Score
(/10)</t>
  </si>
  <si>
    <t>JSW Score
(/10)</t>
  </si>
  <si>
    <t>Top Brand</t>
  </si>
  <si>
    <t>Notes</t>
  </si>
  <si>
    <t>Fastest Moving / Easiest to Recommend</t>
  </si>
  <si>
    <t>First Noticed on Shelf (Visibility)</t>
  </si>
  <si>
    <t>Most Premium Looking</t>
  </si>
  <si>
    <t>Highest Trust</t>
  </si>
  <si>
    <t>Easiest to Understand</t>
  </si>
  <si>
    <t>Most Modern</t>
  </si>
  <si>
    <t>Recommended by Dealer</t>
  </si>
  <si>
    <t>Fastest Contractor Recognition</t>
  </si>
  <si>
    <t>Clearest SKU / Portfolio</t>
  </si>
  <si>
    <t>Customer Top Choice</t>
  </si>
  <si>
    <t>TOTAL MENTIONS (All Dimensions)</t>
  </si>
  <si>
    <t>🔢  SENTIMENT CODING SHEET — Score each respondent 1–10 per dimension after interview</t>
  </si>
  <si>
    <t>CODEBOOK: Best in Market=10 | Excellent=9 | Very Good=8 | Good=7 | Average=5 | Slightly Confusing=4 | Confusing=3 | Poor=2 | Very Poor=1</t>
  </si>
  <si>
    <t>Stakeholder Type</t>
  </si>
  <si>
    <t>Shelf Visibility</t>
  </si>
  <si>
    <t>Premium Perception</t>
  </si>
  <si>
    <t>Product Clarity</t>
  </si>
  <si>
    <t>SKU Clarity</t>
  </si>
  <si>
    <t>Dealer Ease</t>
  </si>
  <si>
    <t>Trust Signal</t>
  </si>
  <si>
    <t>Modernity</t>
  </si>
  <si>
    <t>Overall Score</t>
  </si>
  <si>
    <t>Weighted Avg
(/10)</t>
  </si>
  <si>
    <t>BRAND AVG ▶</t>
  </si>
  <si>
    <t>Average Score Across All Respondents</t>
  </si>
  <si>
    <t>🏆  MASTER PACKAGING BENCHMARKING MATRIX — Final Index Scores</t>
  </si>
  <si>
    <t>Index Score = (Sentiment Score × 0.50) + (Mention Frequency Score × 0.30) + (Ranking Score × 0.20)  |  Scale: 0–10  |  Higher = Better</t>
  </si>
  <si>
    <t>BRAND INFO</t>
  </si>
  <si>
    <t>SENTIMENT SCORES (Avg from Coding Sheet)</t>
  </si>
  <si>
    <t>MENTION FREQ SCORES (from BMF Sheet)</t>
  </si>
  <si>
    <t>INDEX</t>
  </si>
  <si>
    <t>Brand</t>
  </si>
  <si>
    <t>Shelf
Visibility</t>
  </si>
  <si>
    <t>Premium
Perception</t>
  </si>
  <si>
    <t>Product
Clarity</t>
  </si>
  <si>
    <t>SKU
Clarity</t>
  </si>
  <si>
    <t>Dealer
Ease</t>
  </si>
  <si>
    <t>Trust
Signal</t>
  </si>
  <si>
    <t>Sentiment
Avg</t>
  </si>
  <si>
    <t>Mention
Freq Score</t>
  </si>
  <si>
    <t>FINAL
INDEX (/10)</t>
  </si>
  <si>
    <t>Asian Paints</t>
  </si>
  <si>
    <t>Birla Opus</t>
  </si>
  <si>
    <t>Dulux Paints</t>
  </si>
  <si>
    <t>JSW Paints</t>
  </si>
  <si>
    <t>🟡 Yellow cells = Manual input required   |   White/Colored cells = Auto-calculated formulas   |   Enter Sentiment scores (1–10) from Sentiment_Coding sheet averages, and Mention Freq scores from Brand_Mention_Freq sheet</t>
  </si>
  <si>
    <t>🥇 TOP BRAND</t>
  </si>
  <si>
    <t>Age</t>
  </si>
  <si>
    <t>Income Range</t>
  </si>
  <si>
    <t xml:space="preserve">Modernity </t>
  </si>
  <si>
    <t>Claim</t>
  </si>
  <si>
    <t>Brand Visibility</t>
  </si>
  <si>
    <t>Purchase Intent</t>
  </si>
  <si>
    <t>Recommendation Likelihood</t>
  </si>
  <si>
    <t>Segment</t>
  </si>
  <si>
    <t>Recall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</si>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</sst>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1F1F1F"/>
      <name val="Arial"/>
      <family val="2"/>
    </font>
    <font>
      <b/>
      <sz val="13"/>
      <color rgb="FFFFFFFF"/>
      <name val="Arial"/>
      <family val="2"/>
    </font>
    <font>
      <i/>
      <sz val="9"/>
      <color rgb="FF1F3864"/>
      <name val="Arial"/>
      <family val="2"/>
    </font>
    <font>
      <b/>
      <sz val="9"/>
      <color rgb="FFFFFFFF"/>
      <name val="Arial"/>
      <family val="2"/>
    </font>
    <font>
      <b/>
      <sz val="10"/>
      <color rgb="FF2E75B6"/>
      <name val="Arial"/>
      <family val="2"/>
    </font>
    <font>
      <b/>
      <sz val="10"/>
      <color rgb="FF1F1F1F"/>
      <name val="Arial"/>
      <family val="2"/>
    </font>
    <font>
      <sz val="11"/>
      <color rgb="FF1F1F1F"/>
      <name val="Arial"/>
      <family val="2"/>
    </font>
    <font>
      <b/>
      <sz val="10"/>
      <color rgb="FF375623"/>
      <name val="Arial"/>
      <family val="2"/>
    </font>
    <font>
      <b/>
      <sz val="10"/>
      <color rgb="FFC55A11"/>
      <name val="Arial"/>
      <family val="2"/>
    </font>
    <font>
      <b/>
      <sz val="10"/>
      <color rgb="FFFFFFFF"/>
      <name val="Arial"/>
      <family val="2"/>
    </font>
    <font>
      <b/>
      <i/>
      <sz val="9"/>
      <color rgb="FF1F3864"/>
      <name val="Arial"/>
      <family val="2"/>
    </font>
    <font>
      <b/>
      <sz val="11"/>
      <color rgb="FF1F1F1F"/>
      <name val="Arial"/>
      <family val="2"/>
    </font>
    <font>
      <b/>
      <sz val="13"/>
      <color rgb="FF2E75B6"/>
      <name val="Arial"/>
      <family val="2"/>
    </font>
    <font>
      <b/>
      <sz val="13"/>
      <color rgb="FF375623"/>
      <name val="Arial"/>
      <family val="2"/>
    </font>
    <font>
      <b/>
      <sz val="13"/>
      <color rgb="FFC55A11"/>
      <name val="Arial"/>
      <family val="2"/>
    </font>
    <font>
      <b/>
      <sz val="13"/>
      <color rgb="FF7030A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DCE4"/>
        <bgColor rgb="FFDEEAF1"/>
      </patternFill>
    </fill>
    <fill>
      <patternFill patternType="solid">
        <fgColor rgb="FFFFFFFF"/>
        <bgColor rgb="FFE2EFDA"/>
      </patternFill>
    </fill>
    <fill>
      <patternFill patternType="solid">
        <fgColor rgb="FFDEEAF1"/>
        <bgColor rgb="FFE2EFDA"/>
      </patternFill>
    </fill>
    <fill>
      <patternFill patternType="solid">
        <fgColor rgb="FFC55A11"/>
        <bgColor rgb="FF993300"/>
      </patternFill>
    </fill>
    <fill>
      <patternFill patternType="solid">
        <fgColor rgb="FF375623"/>
        <bgColor rgb="FF1F3864"/>
      </patternFill>
    </fill>
    <fill>
      <patternFill patternType="solid">
        <fgColor rgb="FF7030A0"/>
        <bgColor rgb="FF993366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E2EFDA"/>
      </patternFill>
    </fill>
    <fill>
      <patternFill patternType="solid">
        <fgColor rgb="FFEAD1DC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D6DCE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0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3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7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0" fillId="0" borderId="4" xfId="0" applyBorder="1"/>
    <xf numFmtId="0" fontId="0" fillId="15" borderId="0" xfId="0" applyFill="1"/>
    <xf numFmtId="0" fontId="5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DCE4"/>
      <rgbColor rgb="FF808080"/>
      <rgbColor rgb="FF9999FF"/>
      <rgbColor rgb="FF7030A0"/>
      <rgbColor rgb="FFFCE4D6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EAD1DC"/>
      <rgbColor rgb="FF2E75B6"/>
      <rgbColor rgb="FF33CCCC"/>
      <rgbColor rgb="FF99CC00"/>
      <rgbColor rgb="FFFFCC00"/>
      <rgbColor rgb="FFFF9900"/>
      <rgbColor rgb="FFC55A11"/>
      <rgbColor rgb="FF666699"/>
      <rgbColor rgb="FFAAAAAA"/>
      <rgbColor rgb="FF1F3864"/>
      <rgbColor rgb="FF339966"/>
      <rgbColor rgb="FF003300"/>
      <rgbColor rgb="FF375623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1"/>
  <sheetViews>
    <sheetView showGridLines="0" zoomScaleNormal="100" workbookViewId="0">
      <selection activeCell="F9" sqref="F9"/>
    </sheetView>
  </sheetViews>
  <sheetFormatPr defaultColWidth="8.6328125" defaultRowHeight="14.5" x14ac:dyDescent="0.35"/>
  <cols>
    <col min="1" max="1" width="4" customWidth="1"/>
    <col min="2" max="2" width="32" customWidth="1"/>
    <col min="3" max="3" width="60" customWidth="1"/>
  </cols>
  <sheetData>
    <row r="1" spans="2:3" ht="43" customHeight="1" x14ac:dyDescent="0.35">
      <c r="B1" s="51" t="s">
        <v>0</v>
      </c>
      <c r="C1" s="51"/>
    </row>
    <row r="2" spans="2:3" ht="22" customHeight="1" x14ac:dyDescent="0.35"/>
    <row r="3" spans="2:3" ht="19.5" customHeight="1" x14ac:dyDescent="0.35">
      <c r="B3" s="52" t="s">
        <v>1</v>
      </c>
      <c r="C3" s="52"/>
    </row>
    <row r="4" spans="2:3" ht="30" customHeight="1" x14ac:dyDescent="0.35">
      <c r="B4" s="1" t="s">
        <v>2</v>
      </c>
      <c r="C4" s="2" t="s">
        <v>3</v>
      </c>
    </row>
    <row r="5" spans="2:3" ht="30" customHeight="1" x14ac:dyDescent="0.35">
      <c r="B5" s="1" t="s">
        <v>4</v>
      </c>
      <c r="C5" s="2" t="s">
        <v>5</v>
      </c>
    </row>
    <row r="6" spans="2:3" ht="30" customHeight="1" x14ac:dyDescent="0.35">
      <c r="B6" s="1" t="s">
        <v>6</v>
      </c>
      <c r="C6" s="2" t="s">
        <v>7</v>
      </c>
    </row>
    <row r="7" spans="2:3" ht="30" customHeight="1" x14ac:dyDescent="0.35">
      <c r="B7" s="1" t="s">
        <v>8</v>
      </c>
      <c r="C7" s="2" t="s">
        <v>9</v>
      </c>
    </row>
    <row r="8" spans="2:3" ht="7.5" customHeight="1" x14ac:dyDescent="0.35"/>
    <row r="9" spans="2:3" ht="19.5" customHeight="1" x14ac:dyDescent="0.35">
      <c r="B9" s="52" t="s">
        <v>10</v>
      </c>
      <c r="C9" s="52"/>
    </row>
    <row r="10" spans="2:3" ht="30" customHeight="1" x14ac:dyDescent="0.35">
      <c r="B10" s="1" t="s">
        <v>11</v>
      </c>
      <c r="C10" s="2" t="s">
        <v>12</v>
      </c>
    </row>
    <row r="11" spans="2:3" ht="30" customHeight="1" x14ac:dyDescent="0.35">
      <c r="B11" s="1" t="s">
        <v>13</v>
      </c>
      <c r="C11" s="2" t="s">
        <v>14</v>
      </c>
    </row>
    <row r="12" spans="2:3" ht="30" customHeight="1" x14ac:dyDescent="0.35">
      <c r="B12" s="1" t="s">
        <v>15</v>
      </c>
      <c r="C12" s="2" t="s">
        <v>16</v>
      </c>
    </row>
    <row r="13" spans="2:3" ht="30" customHeight="1" x14ac:dyDescent="0.35">
      <c r="B13" s="1" t="s">
        <v>17</v>
      </c>
      <c r="C13" s="2" t="s">
        <v>18</v>
      </c>
    </row>
    <row r="14" spans="2:3" ht="30" customHeight="1" x14ac:dyDescent="0.35">
      <c r="B14" s="1" t="s">
        <v>19</v>
      </c>
      <c r="C14" s="2" t="s">
        <v>20</v>
      </c>
    </row>
    <row r="15" spans="2:3" ht="30" customHeight="1" x14ac:dyDescent="0.35">
      <c r="B15" s="1" t="s">
        <v>21</v>
      </c>
      <c r="C15" s="2" t="s">
        <v>22</v>
      </c>
    </row>
    <row r="16" spans="2:3" ht="30" customHeight="1" x14ac:dyDescent="0.35">
      <c r="B16" s="1" t="s">
        <v>23</v>
      </c>
      <c r="C16" s="2" t="s">
        <v>24</v>
      </c>
    </row>
    <row r="17" spans="2:3" ht="7.5" customHeight="1" x14ac:dyDescent="0.35"/>
    <row r="18" spans="2:3" ht="19.5" customHeight="1" x14ac:dyDescent="0.35">
      <c r="B18" s="52" t="s">
        <v>25</v>
      </c>
      <c r="C18" s="52"/>
    </row>
    <row r="19" spans="2:3" ht="30" customHeight="1" x14ac:dyDescent="0.35">
      <c r="B19" s="1" t="s">
        <v>26</v>
      </c>
      <c r="C19" s="2" t="s">
        <v>27</v>
      </c>
    </row>
    <row r="20" spans="2:3" ht="30" customHeight="1" x14ac:dyDescent="0.35">
      <c r="B20" s="1" t="s">
        <v>28</v>
      </c>
      <c r="C20" s="2" t="s">
        <v>29</v>
      </c>
    </row>
    <row r="21" spans="2:3" ht="30" customHeight="1" x14ac:dyDescent="0.35">
      <c r="B21" s="1" t="s">
        <v>30</v>
      </c>
      <c r="C21" s="2" t="s">
        <v>31</v>
      </c>
    </row>
    <row r="22" spans="2:3" ht="30" customHeight="1" x14ac:dyDescent="0.35">
      <c r="B22" s="1" t="s">
        <v>32</v>
      </c>
      <c r="C22" s="2" t="s">
        <v>33</v>
      </c>
    </row>
    <row r="23" spans="2:3" ht="30" customHeight="1" x14ac:dyDescent="0.35">
      <c r="B23" s="1" t="s">
        <v>34</v>
      </c>
      <c r="C23" s="2" t="s">
        <v>35</v>
      </c>
    </row>
    <row r="24" spans="2:3" ht="30" customHeight="1" x14ac:dyDescent="0.35">
      <c r="B24" s="1" t="s">
        <v>36</v>
      </c>
      <c r="C24" s="2" t="s">
        <v>37</v>
      </c>
    </row>
    <row r="25" spans="2:3" ht="30" customHeight="1" x14ac:dyDescent="0.35">
      <c r="B25" s="1" t="s">
        <v>38</v>
      </c>
      <c r="C25" s="2" t="s">
        <v>39</v>
      </c>
    </row>
    <row r="26" spans="2:3" ht="7.5" customHeight="1" x14ac:dyDescent="0.35"/>
    <row r="27" spans="2:3" ht="19.5" customHeight="1" x14ac:dyDescent="0.35">
      <c r="B27" s="52" t="s">
        <v>40</v>
      </c>
      <c r="C27" s="52"/>
    </row>
    <row r="28" spans="2:3" ht="30" customHeight="1" x14ac:dyDescent="0.35">
      <c r="B28" s="1" t="s">
        <v>41</v>
      </c>
      <c r="C28" s="2" t="s">
        <v>42</v>
      </c>
    </row>
    <row r="29" spans="2:3" ht="30" customHeight="1" x14ac:dyDescent="0.35">
      <c r="B29" s="1" t="s">
        <v>43</v>
      </c>
      <c r="C29" s="2" t="s">
        <v>44</v>
      </c>
    </row>
    <row r="30" spans="2:3" ht="30" customHeight="1" x14ac:dyDescent="0.35">
      <c r="B30" s="1" t="s">
        <v>45</v>
      </c>
      <c r="C30" s="2" t="s">
        <v>46</v>
      </c>
    </row>
    <row r="31" spans="2:3" ht="30" customHeight="1" x14ac:dyDescent="0.35">
      <c r="B31" s="1" t="s">
        <v>47</v>
      </c>
      <c r="C31" s="2" t="s">
        <v>48</v>
      </c>
    </row>
  </sheetData>
  <mergeCells count="5">
    <mergeCell ref="B1:C1"/>
    <mergeCell ref="B3:C3"/>
    <mergeCell ref="B9:C9"/>
    <mergeCell ref="B18:C18"/>
    <mergeCell ref="B27:C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4"/>
  <sheetViews>
    <sheetView showGridLines="0" zoomScale="112" zoomScaleNormal="100" workbookViewId="0">
      <pane xSplit="1" ySplit="4" topLeftCell="J5" activePane="bottomRight" state="frozen"/>
      <selection pane="topRight" activeCell="B1" sqref="B1"/>
      <selection pane="bottomLeft" activeCell="A5" sqref="A5"/>
      <selection pane="bottomRight" activeCell="L11" sqref="L11"/>
    </sheetView>
  </sheetViews>
  <sheetFormatPr defaultColWidth="8.6328125" defaultRowHeight="14.5" x14ac:dyDescent="0.35"/>
  <cols>
    <col min="1" max="1" width="7.453125" bestFit="1" customWidth="1"/>
    <col min="2" max="2" width="15.6328125" bestFit="1" customWidth="1"/>
    <col min="3" max="3" width="12.7265625" bestFit="1" customWidth="1"/>
    <col min="4" max="4" width="12.36328125" bestFit="1" customWidth="1"/>
    <col min="5" max="5" width="13.90625" bestFit="1" customWidth="1"/>
    <col min="6" max="6" width="25" bestFit="1" customWidth="1"/>
    <col min="7" max="7" width="26.90625" bestFit="1" customWidth="1"/>
    <col min="8" max="8" width="34.36328125" bestFit="1" customWidth="1"/>
    <col min="9" max="9" width="28.453125" bestFit="1" customWidth="1"/>
    <col min="10" max="10" width="29.7265625" bestFit="1" customWidth="1"/>
    <col min="11" max="11" width="29.90625" bestFit="1" customWidth="1"/>
    <col min="12" max="12" width="25.453125" bestFit="1" customWidth="1"/>
    <col min="13" max="13" width="26.36328125" bestFit="1" customWidth="1"/>
    <col min="14" max="14" width="27.453125" bestFit="1" customWidth="1"/>
    <col min="15" max="15" width="24.81640625" bestFit="1" customWidth="1"/>
    <col min="16" max="16" width="28.6328125" bestFit="1" customWidth="1"/>
    <col min="17" max="17" width="28.453125" bestFit="1" customWidth="1"/>
    <col min="18" max="19" width="29.08984375" bestFit="1" customWidth="1"/>
    <col min="20" max="20" width="29.90625" bestFit="1" customWidth="1"/>
    <col min="21" max="21" width="12.7265625" bestFit="1" customWidth="1"/>
    <col min="22" max="22" width="16.36328125" bestFit="1" customWidth="1"/>
    <col min="23" max="23" width="26.08984375" bestFit="1" customWidth="1"/>
  </cols>
  <sheetData>
    <row r="1" spans="1:23" ht="16.5" x14ac:dyDescent="0.35">
      <c r="A1" s="53" t="s">
        <v>49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3" x14ac:dyDescent="0.35">
      <c r="A2" s="48" t="s">
        <v>50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</row>
    <row r="3" spans="1:23" x14ac:dyDescent="0.35">
      <c r="A3" s="49" t="s">
        <v>51</v>
      </c>
      <c r="B3" s="49"/>
      <c r="C3" s="49"/>
      <c r="D3" s="49"/>
      <c r="E3" s="49"/>
      <c r="F3" s="49" t="s">
        <v>52</v>
      </c>
      <c r="G3" s="49"/>
      <c r="H3" s="49"/>
      <c r="I3" s="49" t="s">
        <v>53</v>
      </c>
      <c r="J3" s="49"/>
      <c r="K3" s="49"/>
      <c r="L3" s="49" t="s">
        <v>54</v>
      </c>
      <c r="M3" s="49"/>
      <c r="N3" s="49"/>
      <c r="O3" s="49" t="s">
        <v>55</v>
      </c>
      <c r="P3" s="49"/>
      <c r="Q3" s="49"/>
      <c r="R3" s="49" t="s">
        <v>56</v>
      </c>
      <c r="S3" s="49"/>
      <c r="T3" s="49"/>
      <c r="U3" s="50" t="s">
        <v>57</v>
      </c>
      <c r="V3" s="50"/>
      <c r="W3" s="50"/>
    </row>
    <row r="4" spans="1:23" ht="34.5" x14ac:dyDescent="0.35">
      <c r="A4" s="3" t="s">
        <v>58</v>
      </c>
      <c r="B4" s="3" t="s">
        <v>59</v>
      </c>
      <c r="C4" s="3" t="s">
        <v>60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69</v>
      </c>
      <c r="M4" s="3" t="s">
        <v>70</v>
      </c>
      <c r="N4" s="3" t="s">
        <v>71</v>
      </c>
      <c r="O4" s="3" t="s">
        <v>72</v>
      </c>
      <c r="P4" s="3" t="s">
        <v>73</v>
      </c>
      <c r="Q4" s="3" t="s">
        <v>74</v>
      </c>
      <c r="R4" s="3" t="s">
        <v>75</v>
      </c>
      <c r="S4" s="3" t="s">
        <v>76</v>
      </c>
      <c r="T4" s="3" t="s">
        <v>77</v>
      </c>
      <c r="U4" s="4" t="s">
        <v>78</v>
      </c>
      <c r="V4" s="4" t="s">
        <v>79</v>
      </c>
      <c r="W4" s="4" t="s">
        <v>80</v>
      </c>
    </row>
    <row r="5" spans="1:23" x14ac:dyDescent="0.35">
      <c r="A5" s="5" t="str">
        <f t="shared" ref="A5:A24" si="0">IF(B5&lt;&gt;"","R🏪 -"&amp;TEXT(ROW()-4,"00"),"")</f>
        <v/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5">
      <c r="A6" s="6" t="str">
        <f t="shared" si="0"/>
        <v/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x14ac:dyDescent="0.35">
      <c r="A7" s="5" t="str">
        <f t="shared" si="0"/>
        <v/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35">
      <c r="A8" s="6" t="str">
        <f t="shared" si="0"/>
        <v/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x14ac:dyDescent="0.35">
      <c r="A9" s="5" t="str">
        <f t="shared" si="0"/>
        <v/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5">
      <c r="A10" s="6" t="str">
        <f t="shared" si="0"/>
        <v/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x14ac:dyDescent="0.35">
      <c r="A11" s="5" t="str">
        <f t="shared" si="0"/>
        <v/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5">
      <c r="A12" s="6" t="str">
        <f t="shared" si="0"/>
        <v/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x14ac:dyDescent="0.35">
      <c r="A13" s="5" t="str">
        <f t="shared" si="0"/>
        <v/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5">
      <c r="A14" s="6" t="str">
        <f t="shared" si="0"/>
        <v/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x14ac:dyDescent="0.35">
      <c r="A15" s="5" t="str">
        <f t="shared" si="0"/>
        <v/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5">
      <c r="A16" s="6" t="str">
        <f t="shared" si="0"/>
        <v/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35">
      <c r="A17" s="5" t="str">
        <f t="shared" si="0"/>
        <v/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5">
      <c r="A18" s="6" t="str">
        <f t="shared" si="0"/>
        <v/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35">
      <c r="A19" s="5" t="str">
        <f t="shared" si="0"/>
        <v/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5">
      <c r="A20" s="6" t="str">
        <f t="shared" si="0"/>
        <v/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35">
      <c r="A21" s="5" t="str">
        <f t="shared" si="0"/>
        <v/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35">
      <c r="A22" s="6" t="str">
        <f t="shared" si="0"/>
        <v/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35">
      <c r="A23" s="5" t="str">
        <f t="shared" si="0"/>
        <v/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5">
      <c r="A24" s="6" t="str">
        <f t="shared" si="0"/>
        <v/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</sheetData>
  <mergeCells count="9">
    <mergeCell ref="U3:W3"/>
    <mergeCell ref="A1:T1"/>
    <mergeCell ref="A2:T2"/>
    <mergeCell ref="A3:E3"/>
    <mergeCell ref="F3:H3"/>
    <mergeCell ref="I3:K3"/>
    <mergeCell ref="L3:N3"/>
    <mergeCell ref="O3:Q3"/>
    <mergeCell ref="R3:T3"/>
  </mergeCells>
  <dataValidations count="3">
    <dataValidation type="list" allowBlank="1" sqref="E5:E24" xr:uid="{00000000-0002-0000-0100-000000000000}">
      <formula1>"Super Luxury,Luxury,Premium,Economy,Value,All Segments"</formula1>
      <formula2>0</formula2>
    </dataValidation>
    <dataValidation type="list" allowBlank="1" sqref="U5:U24" xr:uid="{00000000-0002-0000-0100-000001000000}">
      <formula1>"Asian Paints,Birla Opus,Dulux Paints,JSW Paints,Multiple,None"</formula1>
      <formula2>0</formula2>
    </dataValidation>
    <dataValidation type="list" allowBlank="1" sqref="V5:V24" xr:uid="{00000000-0002-0000-0100-000002000000}">
      <formula1>"Asian Paints,Birla Opus,Dulux Paints,JSW Paints"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"/>
  <sheetViews>
    <sheetView showGridLines="0" zoomScale="69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7" sqref="G7"/>
    </sheetView>
  </sheetViews>
  <sheetFormatPr defaultColWidth="8.6328125" defaultRowHeight="14.5" x14ac:dyDescent="0.35"/>
  <cols>
    <col min="1" max="1" width="7.453125" bestFit="1" customWidth="1"/>
    <col min="2" max="2" width="15.6328125" bestFit="1" customWidth="1"/>
    <col min="3" max="3" width="12.7265625" bestFit="1" customWidth="1"/>
    <col min="4" max="4" width="12.36328125" bestFit="1" customWidth="1"/>
    <col min="5" max="5" width="13.90625" bestFit="1" customWidth="1"/>
    <col min="6" max="6" width="27.1796875" bestFit="1" customWidth="1"/>
    <col min="7" max="7" width="26.08984375" bestFit="1" customWidth="1"/>
    <col min="8" max="8" width="24.7265625" bestFit="1" customWidth="1"/>
    <col min="9" max="9" width="31.1796875" bestFit="1" customWidth="1"/>
    <col min="10" max="10" width="27.90625" bestFit="1" customWidth="1"/>
    <col min="11" max="11" width="27" bestFit="1" customWidth="1"/>
    <col min="12" max="12" width="23.08984375" bestFit="1" customWidth="1"/>
    <col min="13" max="13" width="29.7265625" bestFit="1" customWidth="1"/>
    <col min="14" max="14" width="21.36328125" bestFit="1" customWidth="1"/>
    <col min="15" max="15" width="21.81640625" bestFit="1" customWidth="1"/>
    <col min="16" max="16" width="26.08984375" bestFit="1" customWidth="1"/>
  </cols>
  <sheetData>
    <row r="1" spans="1:16" ht="16.5" x14ac:dyDescent="0.35">
      <c r="A1" s="54" t="s">
        <v>81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6" x14ac:dyDescent="0.35">
      <c r="A2" s="48" t="s">
        <v>50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6" x14ac:dyDescent="0.35">
      <c r="A3" s="49" t="s">
        <v>51</v>
      </c>
      <c r="B3" s="49"/>
      <c r="C3" s="49"/>
      <c r="D3" s="49"/>
      <c r="E3" s="49"/>
      <c r="F3" s="49" t="s">
        <v>82</v>
      </c>
      <c r="G3" s="49"/>
      <c r="H3" s="49"/>
      <c r="I3" s="49" t="s">
        <v>83</v>
      </c>
      <c r="J3" s="49"/>
      <c r="K3" s="49" t="s">
        <v>84</v>
      </c>
      <c r="L3" s="49"/>
      <c r="M3" s="49"/>
      <c r="N3" s="50" t="s">
        <v>57</v>
      </c>
      <c r="O3" s="50"/>
      <c r="P3" s="50"/>
    </row>
    <row r="4" spans="1:16" ht="46" x14ac:dyDescent="0.35">
      <c r="A4" s="3" t="s">
        <v>58</v>
      </c>
      <c r="B4" s="3" t="s">
        <v>59</v>
      </c>
      <c r="C4" s="3" t="s">
        <v>60</v>
      </c>
      <c r="D4" s="3" t="s">
        <v>61</v>
      </c>
      <c r="E4" s="3" t="s">
        <v>62</v>
      </c>
      <c r="F4" s="3" t="s">
        <v>85</v>
      </c>
      <c r="G4" s="3" t="s">
        <v>86</v>
      </c>
      <c r="H4" s="3" t="s">
        <v>87</v>
      </c>
      <c r="I4" s="3" t="s">
        <v>88</v>
      </c>
      <c r="J4" s="3" t="s">
        <v>89</v>
      </c>
      <c r="K4" s="3" t="s">
        <v>90</v>
      </c>
      <c r="L4" s="3" t="s">
        <v>91</v>
      </c>
      <c r="M4" s="3" t="s">
        <v>92</v>
      </c>
      <c r="N4" s="4" t="s">
        <v>78</v>
      </c>
      <c r="O4" s="4" t="s">
        <v>79</v>
      </c>
      <c r="P4" s="4" t="s">
        <v>80</v>
      </c>
    </row>
    <row r="5" spans="1:16" x14ac:dyDescent="0.35">
      <c r="A5" s="5" t="str">
        <f t="shared" ref="A5:A24" si="0">IF(B5&lt;&gt;"","R🔨 -"&amp;TEXT(ROW()-4,"00"),"")</f>
        <v/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6" t="str">
        <f t="shared" si="0"/>
        <v/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x14ac:dyDescent="0.35">
      <c r="A7" s="5" t="str">
        <f t="shared" si="0"/>
        <v/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6" t="str">
        <f t="shared" si="0"/>
        <v/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x14ac:dyDescent="0.35">
      <c r="A9" s="5" t="str">
        <f t="shared" si="0"/>
        <v/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6" t="str">
        <f t="shared" si="0"/>
        <v/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x14ac:dyDescent="0.35">
      <c r="A11" s="5" t="str">
        <f t="shared" si="0"/>
        <v/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6" t="str">
        <f t="shared" si="0"/>
        <v/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35">
      <c r="A13" s="5" t="str">
        <f t="shared" si="0"/>
        <v/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6" t="str">
        <f t="shared" si="0"/>
        <v/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35">
      <c r="A15" s="5" t="str">
        <f t="shared" si="0"/>
        <v/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6" t="str">
        <f t="shared" si="0"/>
        <v/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x14ac:dyDescent="0.35">
      <c r="A17" s="5" t="str">
        <f t="shared" si="0"/>
        <v/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6" t="str">
        <f t="shared" si="0"/>
        <v/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x14ac:dyDescent="0.35">
      <c r="A19" s="5" t="str">
        <f t="shared" si="0"/>
        <v/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6" t="str">
        <f t="shared" si="0"/>
        <v/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35">
      <c r="A21" s="5" t="str">
        <f t="shared" si="0"/>
        <v/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6" t="str">
        <f t="shared" si="0"/>
        <v/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x14ac:dyDescent="0.35">
      <c r="A23" s="5" t="str">
        <f t="shared" si="0"/>
        <v/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6" t="str">
        <f t="shared" si="0"/>
        <v/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</sheetData>
  <mergeCells count="7">
    <mergeCell ref="N3:P3"/>
    <mergeCell ref="A1:M1"/>
    <mergeCell ref="A2:M2"/>
    <mergeCell ref="A3:E3"/>
    <mergeCell ref="F3:H3"/>
    <mergeCell ref="I3:J3"/>
    <mergeCell ref="K3:M3"/>
  </mergeCells>
  <dataValidations count="3">
    <dataValidation type="list" allowBlank="1" sqref="E5:E24" xr:uid="{00000000-0002-0000-0200-000000000000}">
      <formula1>"Super Luxury,Luxury,Premium,Economy,Value,All Segments"</formula1>
      <formula2>0</formula2>
    </dataValidation>
    <dataValidation type="list" allowBlank="1" sqref="N5:N24" xr:uid="{00000000-0002-0000-0200-000001000000}">
      <formula1>"Asian Paints,Birla Opus,Dulux Paints,JSW Paints,Multiple,None"</formula1>
      <formula2>0</formula2>
    </dataValidation>
    <dataValidation type="list" allowBlank="1" sqref="O5:O24" xr:uid="{00000000-0002-0000-0200-000002000000}">
      <formula1>"Asian Paints,Birla Opus,Dulux Paints,JSW Paints"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10" sqref="J10"/>
    </sheetView>
  </sheetViews>
  <sheetFormatPr defaultColWidth="8.6328125" defaultRowHeight="14.5" x14ac:dyDescent="0.35"/>
  <cols>
    <col min="1" max="1" width="7.453125" bestFit="1" customWidth="1"/>
    <col min="2" max="2" width="15.6328125" bestFit="1" customWidth="1"/>
    <col min="3" max="3" width="12.7265625" bestFit="1" customWidth="1"/>
    <col min="4" max="4" width="12.36328125" bestFit="1" customWidth="1"/>
    <col min="5" max="5" width="13.90625" bestFit="1" customWidth="1"/>
    <col min="6" max="6" width="28.36328125" bestFit="1" customWidth="1"/>
    <col min="7" max="7" width="27.90625" bestFit="1" customWidth="1"/>
    <col min="8" max="8" width="29.36328125" bestFit="1" customWidth="1"/>
    <col min="9" max="9" width="28.36328125" bestFit="1" customWidth="1"/>
    <col min="10" max="10" width="24.36328125" bestFit="1" customWidth="1"/>
    <col min="11" max="11" width="12.7265625" bestFit="1" customWidth="1"/>
    <col min="12" max="12" width="16.36328125" bestFit="1" customWidth="1"/>
    <col min="13" max="13" width="26.08984375" bestFit="1" customWidth="1"/>
  </cols>
  <sheetData>
    <row r="1" spans="1:13" ht="16.5" x14ac:dyDescent="0.35">
      <c r="A1" s="55" t="s">
        <v>93</v>
      </c>
      <c r="B1" s="55"/>
      <c r="C1" s="55"/>
      <c r="D1" s="55"/>
      <c r="E1" s="55"/>
      <c r="F1" s="55"/>
      <c r="G1" s="55"/>
      <c r="H1" s="55"/>
      <c r="I1" s="55"/>
      <c r="J1" s="55"/>
    </row>
    <row r="2" spans="1:13" x14ac:dyDescent="0.35">
      <c r="A2" s="48" t="s">
        <v>50</v>
      </c>
      <c r="B2" s="48"/>
      <c r="C2" s="48"/>
      <c r="D2" s="48"/>
      <c r="E2" s="48"/>
      <c r="F2" s="48"/>
      <c r="G2" s="48"/>
      <c r="H2" s="48"/>
      <c r="I2" s="48"/>
      <c r="J2" s="48"/>
    </row>
    <row r="3" spans="1:13" x14ac:dyDescent="0.35">
      <c r="A3" s="49" t="s">
        <v>51</v>
      </c>
      <c r="B3" s="49"/>
      <c r="C3" s="49"/>
      <c r="D3" s="49"/>
      <c r="E3" s="49"/>
      <c r="F3" s="49" t="s">
        <v>94</v>
      </c>
      <c r="G3" s="49"/>
      <c r="H3" s="49"/>
      <c r="I3" s="8" t="s">
        <v>95</v>
      </c>
      <c r="J3" s="8" t="s">
        <v>96</v>
      </c>
      <c r="K3" s="50" t="s">
        <v>57</v>
      </c>
      <c r="L3" s="50"/>
      <c r="M3" s="50"/>
    </row>
    <row r="4" spans="1:13" ht="34.5" x14ac:dyDescent="0.35">
      <c r="A4" s="3" t="s">
        <v>58</v>
      </c>
      <c r="B4" s="3" t="s">
        <v>59</v>
      </c>
      <c r="C4" s="3" t="s">
        <v>60</v>
      </c>
      <c r="D4" s="3" t="s">
        <v>61</v>
      </c>
      <c r="E4" s="3" t="s">
        <v>62</v>
      </c>
      <c r="F4" s="3" t="s">
        <v>97</v>
      </c>
      <c r="G4" s="3" t="s">
        <v>98</v>
      </c>
      <c r="H4" s="3" t="s">
        <v>99</v>
      </c>
      <c r="I4" s="3" t="s">
        <v>100</v>
      </c>
      <c r="J4" s="3" t="s">
        <v>101</v>
      </c>
      <c r="K4" s="4" t="s">
        <v>78</v>
      </c>
      <c r="L4" s="4" t="s">
        <v>79</v>
      </c>
      <c r="M4" s="4" t="s">
        <v>80</v>
      </c>
    </row>
    <row r="5" spans="1:13" x14ac:dyDescent="0.35">
      <c r="A5" s="5" t="str">
        <f t="shared" ref="A5:A14" si="0">IF(B5&lt;&gt;"","R🏭 -"&amp;TEXT(ROW()-4,"00"),"")</f>
        <v/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5">
      <c r="A6" s="6" t="str">
        <f t="shared" si="0"/>
        <v/>
      </c>
      <c r="B6" s="7"/>
      <c r="C6" s="7"/>
      <c r="D6" s="7"/>
      <c r="E6" s="7"/>
      <c r="F6" s="7"/>
      <c r="G6" s="7"/>
      <c r="H6" s="7"/>
      <c r="I6" s="7"/>
      <c r="J6" s="7"/>
      <c r="K6" s="2"/>
      <c r="L6" s="7"/>
      <c r="M6" s="7"/>
    </row>
    <row r="7" spans="1:13" x14ac:dyDescent="0.35">
      <c r="A7" s="5" t="str">
        <f t="shared" si="0"/>
        <v/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5">
      <c r="A8" s="6" t="str">
        <f t="shared" si="0"/>
        <v/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x14ac:dyDescent="0.35">
      <c r="A9" s="5" t="str">
        <f t="shared" si="0"/>
        <v/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5">
      <c r="A10" s="6" t="str">
        <f t="shared" si="0"/>
        <v/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35">
      <c r="A11" s="5" t="str">
        <f t="shared" si="0"/>
        <v/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5">
      <c r="A12" s="6" t="str">
        <f t="shared" si="0"/>
        <v/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35">
      <c r="A13" s="5" t="str">
        <f t="shared" si="0"/>
        <v/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5">
      <c r="A14" s="6" t="str">
        <f t="shared" si="0"/>
        <v/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</sheetData>
  <mergeCells count="5">
    <mergeCell ref="A1:J1"/>
    <mergeCell ref="A2:J2"/>
    <mergeCell ref="A3:E3"/>
    <mergeCell ref="F3:H3"/>
    <mergeCell ref="K3:M3"/>
  </mergeCells>
  <dataValidations count="3">
    <dataValidation type="list" allowBlank="1" sqref="E5:E14" xr:uid="{00000000-0002-0000-0300-000000000000}">
      <formula1>"Super Luxury,Luxury,Premium,Economy,Value,All Segments"</formula1>
      <formula2>0</formula2>
    </dataValidation>
    <dataValidation type="list" allowBlank="1" sqref="K5:K14" xr:uid="{00000000-0002-0000-0300-000001000000}">
      <formula1>"Asian Paints,Birla Opus,Dulux Paints,JSW Paints,Multiple,None"</formula1>
      <formula2>0</formula2>
    </dataValidation>
    <dataValidation type="list" allowBlank="1" sqref="L5:L14" xr:uid="{00000000-0002-0000-0300-000002000000}">
      <formula1>"Asian Paints,Birla Opus,Dulux Paints,JSW Paints"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5"/>
  <sheetViews>
    <sheetView showGridLines="0" tabSelected="1" zoomScaleNormal="100" workbookViewId="0">
      <pane xSplit="1" ySplit="4" topLeftCell="B20" activePane="bottomRight" state="frozen"/>
      <selection pane="topRight" activeCell="B1" sqref="B1"/>
      <selection pane="bottomLeft" activeCell="A5" sqref="A5"/>
      <selection pane="bottomRight" activeCell="AE22" sqref="AE22"/>
    </sheetView>
  </sheetViews>
  <sheetFormatPr defaultColWidth="8.6328125" defaultRowHeight="14.5" x14ac:dyDescent="0.35"/>
  <cols>
    <col min="1" max="1" width="7.453125" bestFit="1" customWidth="1"/>
    <col min="2" max="2" width="15.6328125" bestFit="1" customWidth="1"/>
    <col min="3" max="3" width="12.7265625" bestFit="1" customWidth="1"/>
    <col min="4" max="4" width="6.36328125" customWidth="1"/>
    <col min="5" max="5" width="12.26953125" bestFit="1" customWidth="1"/>
    <col min="6" max="6" width="12.36328125" bestFit="1" customWidth="1"/>
    <col min="7" max="7" width="13.90625" bestFit="1" customWidth="1"/>
    <col min="8" max="8" width="29.08984375" bestFit="1" customWidth="1"/>
    <col min="9" max="9" width="23" bestFit="1" customWidth="1"/>
    <col min="10" max="10" width="28.453125" bestFit="1" customWidth="1"/>
    <col min="11" max="11" width="28.36328125" bestFit="1" customWidth="1"/>
    <col min="12" max="12" width="27.08984375" bestFit="1" customWidth="1"/>
    <col min="13" max="13" width="12.7265625" bestFit="1" customWidth="1"/>
    <col min="14" max="14" width="16.36328125" bestFit="1" customWidth="1"/>
    <col min="15" max="15" width="26.08984375" bestFit="1" customWidth="1"/>
    <col min="16" max="16" width="7.7265625" bestFit="1" customWidth="1"/>
    <col min="17" max="17" width="8.54296875" bestFit="1" customWidth="1"/>
    <col min="18" max="18" width="7.453125" bestFit="1" customWidth="1"/>
    <col min="19" max="19" width="6" bestFit="1" customWidth="1"/>
    <col min="20" max="20" width="6.453125" bestFit="1" customWidth="1"/>
    <col min="21" max="21" width="7.81640625" bestFit="1" customWidth="1"/>
    <col min="22" max="22" width="5.36328125" bestFit="1" customWidth="1"/>
    <col min="23" max="23" width="7.7265625" bestFit="1" customWidth="1"/>
    <col min="24" max="24" width="5.7265625" bestFit="1" customWidth="1"/>
    <col min="25" max="25" width="7.81640625" bestFit="1" customWidth="1"/>
    <col min="26" max="26" width="8.1796875" bestFit="1" customWidth="1"/>
    <col min="27" max="27" width="5.7265625" bestFit="1" customWidth="1"/>
    <col min="28" max="28" width="7" bestFit="1" customWidth="1"/>
    <col min="29" max="29" width="8.26953125" bestFit="1" customWidth="1"/>
    <col min="30" max="30" width="8.81640625" bestFit="1" customWidth="1"/>
  </cols>
  <sheetData>
    <row r="1" spans="1:30" ht="16.5" x14ac:dyDescent="0.35">
      <c r="A1" s="47" t="s">
        <v>102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30" x14ac:dyDescent="0.35">
      <c r="A2" s="48" t="s">
        <v>50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30" x14ac:dyDescent="0.35">
      <c r="A3" s="49" t="s">
        <v>51</v>
      </c>
      <c r="B3" s="49"/>
      <c r="C3" s="49"/>
      <c r="D3" s="49"/>
      <c r="E3" s="49"/>
      <c r="F3" s="49"/>
      <c r="G3" s="49"/>
      <c r="H3" s="49" t="s">
        <v>103</v>
      </c>
      <c r="I3" s="49"/>
      <c r="J3" s="49"/>
      <c r="K3" s="49"/>
      <c r="L3" s="8" t="s">
        <v>104</v>
      </c>
      <c r="M3" s="50" t="s">
        <v>57</v>
      </c>
      <c r="N3" s="50"/>
      <c r="O3" s="50"/>
    </row>
    <row r="4" spans="1:30" ht="46" x14ac:dyDescent="0.35">
      <c r="A4" s="3" t="s">
        <v>58</v>
      </c>
      <c r="B4" s="3" t="s">
        <v>59</v>
      </c>
      <c r="C4" s="3" t="s">
        <v>60</v>
      </c>
      <c r="D4" s="3" t="s">
        <v>171</v>
      </c>
      <c r="E4" s="3" t="s">
        <v>172</v>
      </c>
      <c r="F4" s="3" t="s">
        <v>61</v>
      </c>
      <c r="G4" s="3" t="s">
        <v>62</v>
      </c>
      <c r="H4" s="3" t="s">
        <v>105</v>
      </c>
      <c r="I4" s="3" t="s">
        <v>106</v>
      </c>
      <c r="J4" s="3" t="s">
        <v>107</v>
      </c>
      <c r="K4" s="3" t="s">
        <v>108</v>
      </c>
      <c r="L4" s="3" t="s">
        <v>109</v>
      </c>
      <c r="M4" s="4" t="s">
        <v>78</v>
      </c>
      <c r="N4" s="4" t="s">
        <v>79</v>
      </c>
      <c r="O4" s="4" t="s">
        <v>80</v>
      </c>
      <c r="P4" s="44" t="s">
        <v>138</v>
      </c>
      <c r="Q4" s="44" t="s">
        <v>139</v>
      </c>
      <c r="R4" s="44" t="s">
        <v>140</v>
      </c>
      <c r="S4" s="44" t="s">
        <v>141</v>
      </c>
      <c r="T4" s="44" t="s">
        <v>142</v>
      </c>
      <c r="U4" s="44" t="s">
        <v>173</v>
      </c>
      <c r="V4" s="44" t="s">
        <v>174</v>
      </c>
      <c r="W4" s="44" t="s">
        <v>175</v>
      </c>
      <c r="X4" s="44" t="s">
        <v>143</v>
      </c>
      <c r="Y4" s="44" t="s">
        <v>144</v>
      </c>
      <c r="Z4" s="44" t="s">
        <v>177</v>
      </c>
      <c r="AA4" s="44" t="s">
        <v>179</v>
      </c>
      <c r="AB4" s="44" t="s">
        <v>145</v>
      </c>
      <c r="AC4" s="44" t="s">
        <v>176</v>
      </c>
      <c r="AD4" s="44" t="s">
        <v>146</v>
      </c>
    </row>
    <row r="5" spans="1:30" x14ac:dyDescent="0.35">
      <c r="A5" s="5" t="str">
        <f t="shared" ref="A5:A34" si="0">IF(B5&lt;&gt;"","R👤 -"&amp;TEXT(ROW()-4,"00"),"")</f>
        <v/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2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 t="str">
        <f>IFERROR(ROUND(AVERAGE(P5:AC5),1),"")</f>
        <v/>
      </c>
    </row>
    <row r="6" spans="1:30" x14ac:dyDescent="0.35">
      <c r="A6" s="6" t="str">
        <f t="shared" si="0"/>
        <v/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43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 t="str">
        <f t="shared" ref="AD6:AD34" si="1">IFERROR(ROUND(AVERAGE(P6:AC6),1),"")</f>
        <v/>
      </c>
    </row>
    <row r="7" spans="1:30" x14ac:dyDescent="0.35">
      <c r="A7" s="5" t="str">
        <f t="shared" si="0"/>
        <v/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42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 t="str">
        <f t="shared" si="1"/>
        <v/>
      </c>
    </row>
    <row r="8" spans="1:30" x14ac:dyDescent="0.35">
      <c r="A8" s="6" t="str">
        <f t="shared" si="0"/>
        <v/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43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 t="str">
        <f t="shared" si="1"/>
        <v/>
      </c>
    </row>
    <row r="9" spans="1:30" x14ac:dyDescent="0.35">
      <c r="A9" s="5" t="str">
        <f t="shared" si="0"/>
        <v/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42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 t="str">
        <f t="shared" si="1"/>
        <v/>
      </c>
    </row>
    <row r="10" spans="1:30" x14ac:dyDescent="0.35">
      <c r="A10" s="6" t="str">
        <f t="shared" si="0"/>
        <v/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43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 t="str">
        <f t="shared" si="1"/>
        <v/>
      </c>
    </row>
    <row r="11" spans="1:30" x14ac:dyDescent="0.35">
      <c r="A11" s="5" t="str">
        <f t="shared" si="0"/>
        <v/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42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 t="str">
        <f t="shared" si="1"/>
        <v/>
      </c>
    </row>
    <row r="12" spans="1:30" x14ac:dyDescent="0.35">
      <c r="A12" s="6" t="str">
        <f t="shared" si="0"/>
        <v/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43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 t="str">
        <f t="shared" si="1"/>
        <v/>
      </c>
    </row>
    <row r="13" spans="1:30" x14ac:dyDescent="0.35">
      <c r="A13" s="5" t="str">
        <f t="shared" si="0"/>
        <v/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42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 t="str">
        <f t="shared" si="1"/>
        <v/>
      </c>
    </row>
    <row r="14" spans="1:30" x14ac:dyDescent="0.35">
      <c r="A14" s="6" t="str">
        <f t="shared" si="0"/>
        <v/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43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 t="str">
        <f t="shared" si="1"/>
        <v/>
      </c>
    </row>
    <row r="15" spans="1:30" x14ac:dyDescent="0.35">
      <c r="A15" s="5" t="str">
        <f t="shared" si="0"/>
        <v/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42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 t="str">
        <f t="shared" si="1"/>
        <v/>
      </c>
    </row>
    <row r="16" spans="1:30" x14ac:dyDescent="0.35">
      <c r="A16" s="6" t="str">
        <f t="shared" si="0"/>
        <v/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43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 t="str">
        <f t="shared" si="1"/>
        <v/>
      </c>
    </row>
    <row r="17" spans="1:30" x14ac:dyDescent="0.35">
      <c r="A17" s="5" t="str">
        <f t="shared" si="0"/>
        <v/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42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 t="str">
        <f t="shared" si="1"/>
        <v/>
      </c>
    </row>
    <row r="18" spans="1:30" x14ac:dyDescent="0.35">
      <c r="A18" s="6" t="str">
        <f t="shared" si="0"/>
        <v/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43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 t="str">
        <f t="shared" si="1"/>
        <v/>
      </c>
    </row>
    <row r="19" spans="1:30" x14ac:dyDescent="0.35">
      <c r="A19" s="5" t="str">
        <f t="shared" si="0"/>
        <v/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42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 t="str">
        <f t="shared" si="1"/>
        <v/>
      </c>
    </row>
    <row r="20" spans="1:30" x14ac:dyDescent="0.35">
      <c r="A20" s="6" t="str">
        <f t="shared" si="0"/>
        <v/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43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 t="str">
        <f t="shared" si="1"/>
        <v/>
      </c>
    </row>
    <row r="21" spans="1:30" x14ac:dyDescent="0.35">
      <c r="A21" s="5" t="str">
        <f t="shared" si="0"/>
        <v/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42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 t="str">
        <f t="shared" si="1"/>
        <v/>
      </c>
    </row>
    <row r="22" spans="1:30" x14ac:dyDescent="0.35">
      <c r="A22" s="6" t="str">
        <f t="shared" si="0"/>
        <v/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43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 t="str">
        <f t="shared" si="1"/>
        <v/>
      </c>
    </row>
    <row r="23" spans="1:30" x14ac:dyDescent="0.35">
      <c r="A23" s="5" t="str">
        <f t="shared" si="0"/>
        <v/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42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 t="str">
        <f t="shared" si="1"/>
        <v/>
      </c>
    </row>
    <row r="24" spans="1:30" x14ac:dyDescent="0.35">
      <c r="A24" s="6" t="str">
        <f t="shared" si="0"/>
        <v/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43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 t="str">
        <f t="shared" si="1"/>
        <v/>
      </c>
    </row>
    <row r="25" spans="1:30" x14ac:dyDescent="0.35">
      <c r="A25" s="5" t="str">
        <f t="shared" si="0"/>
        <v/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42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 t="str">
        <f t="shared" si="1"/>
        <v/>
      </c>
    </row>
    <row r="26" spans="1:30" x14ac:dyDescent="0.35">
      <c r="A26" s="6" t="str">
        <f t="shared" si="0"/>
        <v/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43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 t="str">
        <f t="shared" si="1"/>
        <v/>
      </c>
    </row>
    <row r="27" spans="1:30" x14ac:dyDescent="0.35">
      <c r="A27" s="5" t="str">
        <f t="shared" si="0"/>
        <v/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42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 t="str">
        <f t="shared" si="1"/>
        <v/>
      </c>
    </row>
    <row r="28" spans="1:30" x14ac:dyDescent="0.35">
      <c r="A28" s="6" t="str">
        <f t="shared" si="0"/>
        <v/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43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 t="str">
        <f t="shared" si="1"/>
        <v/>
      </c>
    </row>
    <row r="29" spans="1:30" x14ac:dyDescent="0.35">
      <c r="A29" s="5" t="str">
        <f t="shared" si="0"/>
        <v/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42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 t="str">
        <f t="shared" si="1"/>
        <v/>
      </c>
    </row>
    <row r="30" spans="1:30" x14ac:dyDescent="0.35">
      <c r="A30" s="6" t="str">
        <f t="shared" si="0"/>
        <v/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43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 t="str">
        <f t="shared" si="1"/>
        <v/>
      </c>
    </row>
    <row r="31" spans="1:30" x14ac:dyDescent="0.35">
      <c r="A31" s="5" t="str">
        <f t="shared" si="0"/>
        <v/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42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 t="str">
        <f t="shared" si="1"/>
        <v/>
      </c>
    </row>
    <row r="32" spans="1:30" x14ac:dyDescent="0.35">
      <c r="A32" s="6" t="str">
        <f t="shared" si="0"/>
        <v/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43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 t="str">
        <f t="shared" si="1"/>
        <v/>
      </c>
    </row>
    <row r="33" spans="1:30" x14ac:dyDescent="0.35">
      <c r="A33" s="5" t="str">
        <f t="shared" si="0"/>
        <v/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42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 t="str">
        <f t="shared" si="1"/>
        <v/>
      </c>
    </row>
    <row r="34" spans="1:30" x14ac:dyDescent="0.35">
      <c r="A34" s="6" t="str">
        <f t="shared" si="0"/>
        <v/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43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 t="str">
        <f t="shared" si="1"/>
        <v/>
      </c>
    </row>
    <row r="35" spans="1:30" x14ac:dyDescent="0.35">
      <c r="O35" s="46" t="s">
        <v>180</v>
      </c>
      <c r="P35" s="46" t="str">
        <f>IFERROR(ROUND(AVERAGE(P5:P34),1),"")</f>
        <v/>
      </c>
      <c r="Q35" s="46" t="str">
        <f t="shared" ref="Q35:AD35" si="2">IFERROR(ROUND(AVERAGE(Q5:Q34),1),"")</f>
        <v/>
      </c>
      <c r="R35" s="46" t="str">
        <f t="shared" si="2"/>
        <v/>
      </c>
      <c r="S35" s="46" t="str">
        <f t="shared" si="2"/>
        <v/>
      </c>
      <c r="T35" s="46" t="str">
        <f t="shared" si="2"/>
        <v/>
      </c>
      <c r="U35" s="46" t="str">
        <f t="shared" si="2"/>
        <v/>
      </c>
      <c r="V35" s="46" t="str">
        <f t="shared" si="2"/>
        <v/>
      </c>
      <c r="W35" s="46" t="str">
        <f t="shared" si="2"/>
        <v/>
      </c>
      <c r="X35" s="46" t="str">
        <f t="shared" si="2"/>
        <v/>
      </c>
      <c r="Y35" s="46" t="str">
        <f t="shared" si="2"/>
        <v/>
      </c>
      <c r="Z35" s="46" t="str">
        <f t="shared" si="2"/>
        <v/>
      </c>
      <c r="AA35" s="46" t="str">
        <f t="shared" si="2"/>
        <v/>
      </c>
      <c r="AB35" s="46" t="str">
        <f t="shared" si="2"/>
        <v/>
      </c>
      <c r="AC35" s="46" t="str">
        <f t="shared" si="2"/>
        <v/>
      </c>
      <c r="AD35" s="46" t="str">
        <f t="shared" si="2"/>
        <v/>
      </c>
    </row>
  </sheetData>
  <mergeCells count="5">
    <mergeCell ref="A1:L1"/>
    <mergeCell ref="A2:L2"/>
    <mergeCell ref="A3:G3"/>
    <mergeCell ref="H3:K3"/>
    <mergeCell ref="M3:O3"/>
  </mergeCells>
  <dataValidations count="3">
    <dataValidation type="list" allowBlank="1" sqref="G5:G34" xr:uid="{00000000-0002-0000-0400-000000000000}">
      <formula1>"Super Luxury,Luxury,Premium,Economy,Value,All Segments"</formula1>
      <formula2>0</formula2>
    </dataValidation>
    <dataValidation type="list" allowBlank="1" sqref="M5:M34" xr:uid="{00000000-0002-0000-0400-000001000000}">
      <formula1>"Asian Paints,Birla Opus,Dulux Paints,JSW Paints,Multiple,None"</formula1>
      <formula2>0</formula2>
    </dataValidation>
    <dataValidation type="list" allowBlank="1" sqref="N5:N34" xr:uid="{00000000-0002-0000-0400-000002000000}">
      <formula1>"Asian Paints,Birla Opus,Dulux Paints,JSW Paints"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"/>
  <sheetViews>
    <sheetView showGridLines="0" zoomScaleNormal="100" workbookViewId="0">
      <selection activeCell="E6" sqref="E6"/>
    </sheetView>
  </sheetViews>
  <sheetFormatPr defaultColWidth="8.6328125" defaultRowHeight="14.5" x14ac:dyDescent="0.35"/>
  <cols>
    <col min="1" max="1" width="38" customWidth="1"/>
    <col min="2" max="5" width="14" customWidth="1"/>
    <col min="6" max="10" width="10" customWidth="1"/>
    <col min="11" max="11" width="18" customWidth="1"/>
    <col min="12" max="12" width="25" customWidth="1"/>
  </cols>
  <sheetData>
    <row r="1" spans="1:12" ht="27.75" customHeight="1" x14ac:dyDescent="0.35">
      <c r="A1" s="56" t="s">
        <v>110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18" customHeight="1" x14ac:dyDescent="0.35">
      <c r="A2" s="48" t="s">
        <v>111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36" customHeight="1" x14ac:dyDescent="0.35">
      <c r="A3" s="3" t="s">
        <v>112</v>
      </c>
      <c r="B3" s="3" t="s">
        <v>113</v>
      </c>
      <c r="C3" s="3" t="s">
        <v>114</v>
      </c>
      <c r="D3" s="3" t="s">
        <v>115</v>
      </c>
      <c r="E3" s="3" t="s">
        <v>116</v>
      </c>
      <c r="F3" s="3" t="s">
        <v>117</v>
      </c>
      <c r="G3" s="3" t="s">
        <v>118</v>
      </c>
      <c r="H3" s="3" t="s">
        <v>119</v>
      </c>
      <c r="I3" s="3" t="s">
        <v>120</v>
      </c>
      <c r="J3" s="3" t="s">
        <v>121</v>
      </c>
      <c r="K3" s="3" t="s">
        <v>122</v>
      </c>
      <c r="L3" s="3" t="s">
        <v>123</v>
      </c>
    </row>
    <row r="4" spans="1:12" ht="27.75" customHeight="1" x14ac:dyDescent="0.35">
      <c r="A4" s="9" t="s">
        <v>124</v>
      </c>
      <c r="B4" s="10">
        <v>0</v>
      </c>
      <c r="C4" s="10">
        <v>0</v>
      </c>
      <c r="D4" s="10">
        <v>0</v>
      </c>
      <c r="E4" s="10">
        <v>0</v>
      </c>
      <c r="F4" s="11">
        <f t="shared" ref="F4:F13" si="0">SUM(B4:E4)</f>
        <v>0</v>
      </c>
      <c r="G4" s="12">
        <f t="shared" ref="G4:G13" si="1">IFERROR(ROUND(B4/MAX(B4:E4)*10,1),0)</f>
        <v>0</v>
      </c>
      <c r="H4" s="12">
        <f t="shared" ref="H4:H13" si="2">IFERROR(ROUND(C4/MAX(B4:E4)*10,1),0)</f>
        <v>0</v>
      </c>
      <c r="I4" s="12">
        <f t="shared" ref="I4:I13" si="3">IFERROR(ROUND(D4/MAX(B4:E4)*10,1),0)</f>
        <v>0</v>
      </c>
      <c r="J4" s="12">
        <f t="shared" ref="J4:J13" si="4">IFERROR(ROUND(E4/MAX(B4:E4)*10,1),0)</f>
        <v>0</v>
      </c>
      <c r="K4" s="13" t="str">
        <f>IFERROR(INDEX({"Asian Paints","Birla Opus","Dulux Paints","JSW Paints"},MATCH(MAX(B4:E4),B4:E4,0)),"-")</f>
        <v>Asian Paints</v>
      </c>
      <c r="L4" s="14"/>
    </row>
    <row r="5" spans="1:12" ht="27.75" customHeight="1" x14ac:dyDescent="0.35">
      <c r="A5" s="9" t="s">
        <v>125</v>
      </c>
      <c r="B5" s="15">
        <v>0</v>
      </c>
      <c r="C5" s="15">
        <v>0</v>
      </c>
      <c r="D5" s="15">
        <v>0</v>
      </c>
      <c r="E5" s="15">
        <v>0</v>
      </c>
      <c r="F5" s="11">
        <f t="shared" si="0"/>
        <v>0</v>
      </c>
      <c r="G5" s="12">
        <f t="shared" si="1"/>
        <v>0</v>
      </c>
      <c r="H5" s="12">
        <f t="shared" si="2"/>
        <v>0</v>
      </c>
      <c r="I5" s="12">
        <f t="shared" si="3"/>
        <v>0</v>
      </c>
      <c r="J5" s="12">
        <f t="shared" si="4"/>
        <v>0</v>
      </c>
      <c r="K5" s="13" t="str">
        <f>IFERROR(INDEX({"Asian Paints","Birla Opus","Dulux Paints","JSW Paints"},MATCH(MAX(B5:E5),B5:E5,0)),"-")</f>
        <v>Asian Paints</v>
      </c>
      <c r="L5" s="16"/>
    </row>
    <row r="6" spans="1:12" ht="27.75" customHeight="1" x14ac:dyDescent="0.35">
      <c r="A6" s="9" t="s">
        <v>126</v>
      </c>
      <c r="B6" s="10">
        <v>0</v>
      </c>
      <c r="C6" s="10">
        <v>0</v>
      </c>
      <c r="D6" s="10">
        <v>0</v>
      </c>
      <c r="E6" s="10">
        <v>0</v>
      </c>
      <c r="F6" s="11">
        <f t="shared" si="0"/>
        <v>0</v>
      </c>
      <c r="G6" s="12">
        <f t="shared" si="1"/>
        <v>0</v>
      </c>
      <c r="H6" s="12">
        <f t="shared" si="2"/>
        <v>0</v>
      </c>
      <c r="I6" s="12">
        <f t="shared" si="3"/>
        <v>0</v>
      </c>
      <c r="J6" s="12">
        <f t="shared" si="4"/>
        <v>0</v>
      </c>
      <c r="K6" s="13" t="str">
        <f>IFERROR(INDEX({"Asian Paints","Birla Opus","Dulux Paints","JSW Paints"},MATCH(MAX(B6:E6),B6:E6,0)),"-")</f>
        <v>Asian Paints</v>
      </c>
      <c r="L6" s="14"/>
    </row>
    <row r="7" spans="1:12" ht="27.75" customHeight="1" x14ac:dyDescent="0.35">
      <c r="A7" s="9" t="s">
        <v>127</v>
      </c>
      <c r="B7" s="15">
        <v>0</v>
      </c>
      <c r="C7" s="15">
        <v>0</v>
      </c>
      <c r="D7" s="15">
        <v>0</v>
      </c>
      <c r="E7" s="15">
        <v>0</v>
      </c>
      <c r="F7" s="11">
        <f t="shared" si="0"/>
        <v>0</v>
      </c>
      <c r="G7" s="12">
        <f t="shared" si="1"/>
        <v>0</v>
      </c>
      <c r="H7" s="12">
        <f t="shared" si="2"/>
        <v>0</v>
      </c>
      <c r="I7" s="12">
        <f t="shared" si="3"/>
        <v>0</v>
      </c>
      <c r="J7" s="12">
        <f t="shared" si="4"/>
        <v>0</v>
      </c>
      <c r="K7" s="13" t="str">
        <f>IFERROR(INDEX({"Asian Paints","Birla Opus","Dulux Paints","JSW Paints"},MATCH(MAX(B7:E7),B7:E7,0)),"-")</f>
        <v>Asian Paints</v>
      </c>
      <c r="L7" s="16"/>
    </row>
    <row r="8" spans="1:12" ht="27.75" customHeight="1" x14ac:dyDescent="0.35">
      <c r="A8" s="9" t="s">
        <v>128</v>
      </c>
      <c r="B8" s="10">
        <v>0</v>
      </c>
      <c r="C8" s="10">
        <v>0</v>
      </c>
      <c r="D8" s="10">
        <v>0</v>
      </c>
      <c r="E8" s="10">
        <v>0</v>
      </c>
      <c r="F8" s="11">
        <f t="shared" si="0"/>
        <v>0</v>
      </c>
      <c r="G8" s="12">
        <f t="shared" si="1"/>
        <v>0</v>
      </c>
      <c r="H8" s="12">
        <f t="shared" si="2"/>
        <v>0</v>
      </c>
      <c r="I8" s="12">
        <f t="shared" si="3"/>
        <v>0</v>
      </c>
      <c r="J8" s="12">
        <f t="shared" si="4"/>
        <v>0</v>
      </c>
      <c r="K8" s="13" t="str">
        <f>IFERROR(INDEX({"Asian Paints","Birla Opus","Dulux Paints","JSW Paints"},MATCH(MAX(B8:E8),B8:E8,0)),"-")</f>
        <v>Asian Paints</v>
      </c>
      <c r="L8" s="14"/>
    </row>
    <row r="9" spans="1:12" ht="27.75" customHeight="1" x14ac:dyDescent="0.35">
      <c r="A9" s="9" t="s">
        <v>129</v>
      </c>
      <c r="B9" s="15">
        <v>0</v>
      </c>
      <c r="C9" s="15">
        <v>0</v>
      </c>
      <c r="D9" s="15">
        <v>0</v>
      </c>
      <c r="E9" s="15">
        <v>0</v>
      </c>
      <c r="F9" s="11">
        <f t="shared" si="0"/>
        <v>0</v>
      </c>
      <c r="G9" s="12">
        <f t="shared" si="1"/>
        <v>0</v>
      </c>
      <c r="H9" s="12">
        <f t="shared" si="2"/>
        <v>0</v>
      </c>
      <c r="I9" s="12">
        <f t="shared" si="3"/>
        <v>0</v>
      </c>
      <c r="J9" s="12">
        <f t="shared" si="4"/>
        <v>0</v>
      </c>
      <c r="K9" s="13" t="str">
        <f>IFERROR(INDEX({"Asian Paints","Birla Opus","Dulux Paints","JSW Paints"},MATCH(MAX(B9:E9),B9:E9,0)),"-")</f>
        <v>Asian Paints</v>
      </c>
      <c r="L9" s="16"/>
    </row>
    <row r="10" spans="1:12" ht="27.75" customHeight="1" x14ac:dyDescent="0.35">
      <c r="A10" s="9" t="s">
        <v>130</v>
      </c>
      <c r="B10" s="10">
        <v>0</v>
      </c>
      <c r="C10" s="10">
        <v>0</v>
      </c>
      <c r="D10" s="10">
        <v>0</v>
      </c>
      <c r="E10" s="10">
        <v>0</v>
      </c>
      <c r="F10" s="11">
        <f t="shared" si="0"/>
        <v>0</v>
      </c>
      <c r="G10" s="12">
        <f t="shared" si="1"/>
        <v>0</v>
      </c>
      <c r="H10" s="12">
        <f t="shared" si="2"/>
        <v>0</v>
      </c>
      <c r="I10" s="12">
        <f t="shared" si="3"/>
        <v>0</v>
      </c>
      <c r="J10" s="12">
        <f t="shared" si="4"/>
        <v>0</v>
      </c>
      <c r="K10" s="13" t="str">
        <f>IFERROR(INDEX({"Asian Paints","Birla Opus","Dulux Paints","JSW Paints"},MATCH(MAX(B10:E10),B10:E10,0)),"-")</f>
        <v>Asian Paints</v>
      </c>
      <c r="L10" s="14"/>
    </row>
    <row r="11" spans="1:12" ht="27.75" customHeight="1" x14ac:dyDescent="0.35">
      <c r="A11" s="9" t="s">
        <v>131</v>
      </c>
      <c r="B11" s="15">
        <v>0</v>
      </c>
      <c r="C11" s="15">
        <v>0</v>
      </c>
      <c r="D11" s="15">
        <v>0</v>
      </c>
      <c r="E11" s="15">
        <v>0</v>
      </c>
      <c r="F11" s="11">
        <f t="shared" si="0"/>
        <v>0</v>
      </c>
      <c r="G11" s="12">
        <f t="shared" si="1"/>
        <v>0</v>
      </c>
      <c r="H11" s="12">
        <f t="shared" si="2"/>
        <v>0</v>
      </c>
      <c r="I11" s="12">
        <f t="shared" si="3"/>
        <v>0</v>
      </c>
      <c r="J11" s="12">
        <f t="shared" si="4"/>
        <v>0</v>
      </c>
      <c r="K11" s="13" t="str">
        <f>IFERROR(INDEX({"Asian Paints","Birla Opus","Dulux Paints","JSW Paints"},MATCH(MAX(B11:E11),B11:E11,0)),"-")</f>
        <v>Asian Paints</v>
      </c>
      <c r="L11" s="16"/>
    </row>
    <row r="12" spans="1:12" ht="27.75" customHeight="1" x14ac:dyDescent="0.35">
      <c r="A12" s="9" t="s">
        <v>132</v>
      </c>
      <c r="B12" s="10">
        <v>0</v>
      </c>
      <c r="C12" s="10">
        <v>0</v>
      </c>
      <c r="D12" s="10">
        <v>0</v>
      </c>
      <c r="E12" s="10">
        <v>0</v>
      </c>
      <c r="F12" s="11">
        <f t="shared" si="0"/>
        <v>0</v>
      </c>
      <c r="G12" s="12">
        <f t="shared" si="1"/>
        <v>0</v>
      </c>
      <c r="H12" s="12">
        <f t="shared" si="2"/>
        <v>0</v>
      </c>
      <c r="I12" s="12">
        <f t="shared" si="3"/>
        <v>0</v>
      </c>
      <c r="J12" s="12">
        <f t="shared" si="4"/>
        <v>0</v>
      </c>
      <c r="K12" s="13" t="str">
        <f>IFERROR(INDEX({"Asian Paints","Birla Opus","Dulux Paints","JSW Paints"},MATCH(MAX(B12:E12),B12:E12,0)),"-")</f>
        <v>Asian Paints</v>
      </c>
      <c r="L12" s="14"/>
    </row>
    <row r="13" spans="1:12" ht="27.75" customHeight="1" x14ac:dyDescent="0.35">
      <c r="A13" s="9" t="s">
        <v>133</v>
      </c>
      <c r="B13" s="15">
        <v>0</v>
      </c>
      <c r="C13" s="15">
        <v>0</v>
      </c>
      <c r="D13" s="15">
        <v>0</v>
      </c>
      <c r="E13" s="15">
        <v>0</v>
      </c>
      <c r="F13" s="11">
        <f t="shared" si="0"/>
        <v>0</v>
      </c>
      <c r="G13" s="12">
        <f t="shared" si="1"/>
        <v>0</v>
      </c>
      <c r="H13" s="12">
        <f t="shared" si="2"/>
        <v>0</v>
      </c>
      <c r="I13" s="12">
        <f t="shared" si="3"/>
        <v>0</v>
      </c>
      <c r="J13" s="12">
        <f t="shared" si="4"/>
        <v>0</v>
      </c>
      <c r="K13" s="13" t="str">
        <f>IFERROR(INDEX({"Asian Paints","Birla Opus","Dulux Paints","JSW Paints"},MATCH(MAX(B13:E13),B13:E13,0)),"-")</f>
        <v>Asian Paints</v>
      </c>
      <c r="L13" s="16"/>
    </row>
    <row r="14" spans="1:12" x14ac:dyDescent="0.35">
      <c r="A14" s="17" t="s">
        <v>134</v>
      </c>
      <c r="B14" s="18">
        <f>SUM(B4:B13)</f>
        <v>0</v>
      </c>
      <c r="C14" s="18">
        <f>SUM(C4:C13)</f>
        <v>0</v>
      </c>
      <c r="D14" s="18">
        <f>SUM(D4:D13)</f>
        <v>0</v>
      </c>
      <c r="E14" s="18">
        <f>SUM(E4:E13)</f>
        <v>0</v>
      </c>
      <c r="F14" s="19"/>
      <c r="G14" s="19"/>
      <c r="H14" s="19"/>
      <c r="I14" s="19"/>
      <c r="J14" s="19"/>
      <c r="K14" s="19"/>
      <c r="L14" s="19"/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4"/>
  <sheetViews>
    <sheetView showGridLines="0" zoomScale="58" zoomScaleNormal="100" workbookViewId="0">
      <pane xSplit="3" ySplit="3" topLeftCell="D60" activePane="bottomRight" state="frozen"/>
      <selection pane="topRight" activeCell="D1" sqref="D1"/>
      <selection pane="bottomLeft" activeCell="A4" sqref="A4"/>
      <selection pane="bottomRight" activeCell="E75" sqref="E75"/>
    </sheetView>
  </sheetViews>
  <sheetFormatPr defaultColWidth="8.6328125" defaultRowHeight="14.5" x14ac:dyDescent="0.35"/>
  <cols>
    <col min="1" max="1" width="12" customWidth="1"/>
    <col min="2" max="2" width="22" customWidth="1"/>
    <col min="3" max="4" width="20" customWidth="1"/>
    <col min="5" max="14" width="14" customWidth="1"/>
    <col min="15" max="15" width="15.453125" customWidth="1"/>
    <col min="16" max="18" width="14" customWidth="1"/>
    <col min="19" max="19" width="20.6328125" customWidth="1"/>
    <col min="20" max="20" width="1.08984375" customWidth="1"/>
  </cols>
  <sheetData>
    <row r="1" spans="1:20" ht="27.75" customHeight="1" x14ac:dyDescent="0.35">
      <c r="A1" s="55" t="s">
        <v>135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</row>
    <row r="2" spans="1:20" ht="18" customHeight="1" x14ac:dyDescent="0.35">
      <c r="A2" s="57" t="s">
        <v>136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</row>
    <row r="3" spans="1:20" ht="36" customHeight="1" x14ac:dyDescent="0.35">
      <c r="A3" s="3" t="s">
        <v>58</v>
      </c>
      <c r="B3" s="3" t="s">
        <v>59</v>
      </c>
      <c r="C3" s="3" t="s">
        <v>137</v>
      </c>
      <c r="D3" s="3" t="s">
        <v>178</v>
      </c>
      <c r="E3" s="20" t="s">
        <v>138</v>
      </c>
      <c r="F3" s="20" t="s">
        <v>139</v>
      </c>
      <c r="G3" s="20" t="s">
        <v>140</v>
      </c>
      <c r="H3" s="20" t="s">
        <v>141</v>
      </c>
      <c r="I3" s="20" t="s">
        <v>142</v>
      </c>
      <c r="J3" s="20" t="s">
        <v>173</v>
      </c>
      <c r="K3" s="20" t="s">
        <v>174</v>
      </c>
      <c r="L3" s="20" t="s">
        <v>175</v>
      </c>
      <c r="M3" s="20" t="s">
        <v>143</v>
      </c>
      <c r="N3" s="20" t="s">
        <v>144</v>
      </c>
      <c r="O3" s="20" t="s">
        <v>177</v>
      </c>
      <c r="P3" s="20" t="s">
        <v>179</v>
      </c>
      <c r="Q3" s="20" t="s">
        <v>145</v>
      </c>
      <c r="R3" s="20" t="s">
        <v>176</v>
      </c>
      <c r="S3" s="20" t="s">
        <v>146</v>
      </c>
    </row>
    <row r="4" spans="1:20" ht="21.75" customHeight="1" x14ac:dyDescent="0.3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12" t="str">
        <f>IFERROR(ROUND(AVERAGE(E4:R4),1),"")</f>
        <v/>
      </c>
    </row>
    <row r="5" spans="1:20" ht="21.75" customHeight="1" x14ac:dyDescent="0.3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12" t="str">
        <f>IFERROR(ROUND(AVERAGE(E5:R5),1),"")</f>
        <v/>
      </c>
    </row>
    <row r="6" spans="1:20" ht="21.75" customHeight="1" x14ac:dyDescent="0.3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12" t="str">
        <f t="shared" ref="S6:S68" si="0">IFERROR(ROUND(AVERAGE(E6:R6),1),"")</f>
        <v/>
      </c>
    </row>
    <row r="7" spans="1:20" ht="21.75" customHeight="1" x14ac:dyDescent="0.3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12" t="str">
        <f t="shared" si="0"/>
        <v/>
      </c>
    </row>
    <row r="8" spans="1:20" ht="21.75" customHeight="1" x14ac:dyDescent="0.3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12" t="str">
        <f t="shared" si="0"/>
        <v/>
      </c>
    </row>
    <row r="9" spans="1:20" ht="21.75" customHeight="1" x14ac:dyDescent="0.3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12" t="str">
        <f t="shared" si="0"/>
        <v/>
      </c>
    </row>
    <row r="10" spans="1:20" ht="21.75" customHeight="1" x14ac:dyDescent="0.3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12" t="str">
        <f t="shared" si="0"/>
        <v/>
      </c>
    </row>
    <row r="11" spans="1:20" ht="21.75" customHeight="1" x14ac:dyDescent="0.3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12" t="str">
        <f t="shared" si="0"/>
        <v/>
      </c>
    </row>
    <row r="12" spans="1:20" ht="21.75" customHeight="1" x14ac:dyDescent="0.3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12" t="str">
        <f t="shared" si="0"/>
        <v/>
      </c>
    </row>
    <row r="13" spans="1:20" ht="21.75" customHeight="1" x14ac:dyDescent="0.3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12" t="str">
        <f t="shared" si="0"/>
        <v/>
      </c>
    </row>
    <row r="14" spans="1:20" ht="21.75" customHeight="1" x14ac:dyDescent="0.3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12" t="str">
        <f t="shared" si="0"/>
        <v/>
      </c>
    </row>
    <row r="15" spans="1:20" ht="21.75" customHeight="1" x14ac:dyDescent="0.3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12" t="str">
        <f t="shared" si="0"/>
        <v/>
      </c>
    </row>
    <row r="16" spans="1:20" ht="21.75" customHeight="1" x14ac:dyDescent="0.3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12" t="str">
        <f t="shared" si="0"/>
        <v/>
      </c>
    </row>
    <row r="17" spans="1:19" ht="21.75" customHeight="1" x14ac:dyDescent="0.3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12" t="str">
        <f t="shared" si="0"/>
        <v/>
      </c>
    </row>
    <row r="18" spans="1:19" ht="21.75" customHeight="1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12" t="str">
        <f t="shared" si="0"/>
        <v/>
      </c>
    </row>
    <row r="19" spans="1:19" ht="21.75" customHeight="1" x14ac:dyDescent="0.3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12" t="str">
        <f t="shared" si="0"/>
        <v/>
      </c>
    </row>
    <row r="20" spans="1:19" ht="21.75" customHeight="1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12" t="str">
        <f t="shared" si="0"/>
        <v/>
      </c>
    </row>
    <row r="21" spans="1:19" ht="21.75" customHeight="1" x14ac:dyDescent="0.3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12" t="str">
        <f t="shared" si="0"/>
        <v/>
      </c>
    </row>
    <row r="22" spans="1:19" ht="21.75" customHeight="1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12" t="str">
        <f t="shared" si="0"/>
        <v/>
      </c>
    </row>
    <row r="23" spans="1:19" ht="21.75" customHeight="1" x14ac:dyDescent="0.3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12" t="str">
        <f t="shared" si="0"/>
        <v/>
      </c>
    </row>
    <row r="24" spans="1:19" ht="21.75" customHeight="1" x14ac:dyDescent="0.3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12" t="str">
        <f t="shared" si="0"/>
        <v/>
      </c>
    </row>
    <row r="25" spans="1:19" ht="21.75" customHeight="1" x14ac:dyDescent="0.3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12" t="str">
        <f t="shared" si="0"/>
        <v/>
      </c>
    </row>
    <row r="26" spans="1:19" ht="21.75" customHeight="1" x14ac:dyDescent="0.3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12" t="str">
        <f t="shared" si="0"/>
        <v/>
      </c>
    </row>
    <row r="27" spans="1:19" ht="21.75" customHeight="1" x14ac:dyDescent="0.3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12" t="str">
        <f t="shared" si="0"/>
        <v/>
      </c>
    </row>
    <row r="28" spans="1:19" ht="21.75" customHeight="1" x14ac:dyDescent="0.3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12" t="str">
        <f t="shared" si="0"/>
        <v/>
      </c>
    </row>
    <row r="29" spans="1:19" ht="21.75" customHeight="1" x14ac:dyDescent="0.3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12" t="str">
        <f t="shared" si="0"/>
        <v/>
      </c>
    </row>
    <row r="30" spans="1:19" ht="21.75" customHeight="1" x14ac:dyDescent="0.3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12" t="str">
        <f t="shared" si="0"/>
        <v/>
      </c>
    </row>
    <row r="31" spans="1:19" ht="21.75" customHeight="1" x14ac:dyDescent="0.3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12" t="str">
        <f t="shared" si="0"/>
        <v/>
      </c>
    </row>
    <row r="32" spans="1:19" ht="21.75" customHeight="1" x14ac:dyDescent="0.3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12" t="str">
        <f t="shared" si="0"/>
        <v/>
      </c>
    </row>
    <row r="33" spans="1:19" ht="21.75" customHeight="1" x14ac:dyDescent="0.3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12" t="str">
        <f t="shared" si="0"/>
        <v/>
      </c>
    </row>
    <row r="34" spans="1:19" ht="21.75" customHeight="1" x14ac:dyDescent="0.3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12" t="str">
        <f t="shared" si="0"/>
        <v/>
      </c>
    </row>
    <row r="35" spans="1:19" ht="21.75" customHeight="1" x14ac:dyDescent="0.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12" t="str">
        <f t="shared" si="0"/>
        <v/>
      </c>
    </row>
    <row r="36" spans="1:19" ht="21.75" customHeight="1" x14ac:dyDescent="0.3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12" t="str">
        <f t="shared" si="0"/>
        <v/>
      </c>
    </row>
    <row r="37" spans="1:19" ht="21.75" customHeight="1" x14ac:dyDescent="0.3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12" t="str">
        <f t="shared" si="0"/>
        <v/>
      </c>
    </row>
    <row r="38" spans="1:19" ht="21.75" customHeight="1" x14ac:dyDescent="0.3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12" t="str">
        <f t="shared" si="0"/>
        <v/>
      </c>
    </row>
    <row r="39" spans="1:19" ht="21.75" customHeight="1" x14ac:dyDescent="0.3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12" t="str">
        <f t="shared" si="0"/>
        <v/>
      </c>
    </row>
    <row r="40" spans="1:19" ht="21.75" customHeight="1" x14ac:dyDescent="0.3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12" t="str">
        <f t="shared" si="0"/>
        <v/>
      </c>
    </row>
    <row r="41" spans="1:19" ht="21.75" customHeight="1" x14ac:dyDescent="0.3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12" t="str">
        <f t="shared" si="0"/>
        <v/>
      </c>
    </row>
    <row r="42" spans="1:19" ht="21.75" customHeight="1" x14ac:dyDescent="0.3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12" t="str">
        <f t="shared" si="0"/>
        <v/>
      </c>
    </row>
    <row r="43" spans="1:19" ht="21.75" customHeight="1" x14ac:dyDescent="0.3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12" t="str">
        <f t="shared" si="0"/>
        <v/>
      </c>
    </row>
    <row r="44" spans="1:19" ht="21.75" customHeight="1" x14ac:dyDescent="0.3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12" t="str">
        <f t="shared" si="0"/>
        <v/>
      </c>
    </row>
    <row r="45" spans="1:19" ht="21.75" customHeight="1" x14ac:dyDescent="0.3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12" t="str">
        <f t="shared" si="0"/>
        <v/>
      </c>
    </row>
    <row r="46" spans="1:19" ht="21.75" customHeight="1" x14ac:dyDescent="0.3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12" t="str">
        <f t="shared" si="0"/>
        <v/>
      </c>
    </row>
    <row r="47" spans="1:19" ht="21.75" customHeight="1" x14ac:dyDescent="0.3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12" t="str">
        <f t="shared" si="0"/>
        <v/>
      </c>
    </row>
    <row r="48" spans="1:19" ht="21.75" customHeight="1" x14ac:dyDescent="0.3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" t="str">
        <f t="shared" si="0"/>
        <v/>
      </c>
    </row>
    <row r="49" spans="1:19" ht="21.75" customHeight="1" x14ac:dyDescent="0.3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12" t="str">
        <f t="shared" si="0"/>
        <v/>
      </c>
    </row>
    <row r="50" spans="1:19" ht="21.75" customHeight="1" x14ac:dyDescent="0.3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12" t="str">
        <f t="shared" si="0"/>
        <v/>
      </c>
    </row>
    <row r="51" spans="1:19" ht="21.75" customHeight="1" x14ac:dyDescent="0.3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12" t="str">
        <f t="shared" si="0"/>
        <v/>
      </c>
    </row>
    <row r="52" spans="1:19" ht="21.75" customHeight="1" x14ac:dyDescent="0.3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12" t="str">
        <f t="shared" si="0"/>
        <v/>
      </c>
    </row>
    <row r="53" spans="1:19" ht="21.75" customHeight="1" x14ac:dyDescent="0.3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12" t="str">
        <f t="shared" si="0"/>
        <v/>
      </c>
    </row>
    <row r="54" spans="1:19" ht="21.75" customHeight="1" x14ac:dyDescent="0.3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12" t="str">
        <f t="shared" si="0"/>
        <v/>
      </c>
    </row>
    <row r="55" spans="1:19" ht="21.75" customHeight="1" x14ac:dyDescent="0.3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12" t="str">
        <f t="shared" si="0"/>
        <v/>
      </c>
    </row>
    <row r="56" spans="1:19" ht="21.75" customHeight="1" x14ac:dyDescent="0.3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12" t="str">
        <f t="shared" si="0"/>
        <v/>
      </c>
    </row>
    <row r="57" spans="1:19" ht="21.75" customHeight="1" x14ac:dyDescent="0.3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12" t="str">
        <f t="shared" si="0"/>
        <v/>
      </c>
    </row>
    <row r="58" spans="1:19" ht="21.75" customHeight="1" x14ac:dyDescent="0.3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12" t="str">
        <f t="shared" si="0"/>
        <v/>
      </c>
    </row>
    <row r="59" spans="1:19" ht="21.75" customHeight="1" x14ac:dyDescent="0.3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12" t="str">
        <f t="shared" si="0"/>
        <v/>
      </c>
    </row>
    <row r="60" spans="1:19" ht="21.75" customHeight="1" x14ac:dyDescent="0.3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12" t="str">
        <f t="shared" si="0"/>
        <v/>
      </c>
    </row>
    <row r="61" spans="1:19" ht="21.75" customHeight="1" x14ac:dyDescent="0.3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12" t="str">
        <f t="shared" si="0"/>
        <v/>
      </c>
    </row>
    <row r="62" spans="1:19" ht="21.75" customHeight="1" x14ac:dyDescent="0.3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12" t="str">
        <f t="shared" si="0"/>
        <v/>
      </c>
    </row>
    <row r="63" spans="1:19" ht="21.75" customHeight="1" x14ac:dyDescent="0.3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12" t="str">
        <f t="shared" si="0"/>
        <v/>
      </c>
    </row>
    <row r="64" spans="1:19" ht="21.75" customHeight="1" x14ac:dyDescent="0.3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12" t="str">
        <f t="shared" si="0"/>
        <v/>
      </c>
    </row>
    <row r="65" spans="1:19" ht="21.75" customHeight="1" x14ac:dyDescent="0.3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12" t="str">
        <f t="shared" si="0"/>
        <v/>
      </c>
    </row>
    <row r="66" spans="1:19" ht="21.75" customHeight="1" x14ac:dyDescent="0.3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12" t="str">
        <f t="shared" si="0"/>
        <v/>
      </c>
    </row>
    <row r="67" spans="1:19" ht="21.75" customHeight="1" x14ac:dyDescent="0.3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12" t="str">
        <f t="shared" si="0"/>
        <v/>
      </c>
    </row>
    <row r="68" spans="1:19" ht="21.75" customHeight="1" x14ac:dyDescent="0.3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12" t="str">
        <f t="shared" si="0"/>
        <v/>
      </c>
    </row>
    <row r="69" spans="1:19" ht="21.75" customHeight="1" x14ac:dyDescent="0.3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12" t="str">
        <f t="shared" ref="S69:S73" si="1">IFERROR(ROUND(AVERAGE(E69:R69),1),"")</f>
        <v/>
      </c>
    </row>
    <row r="70" spans="1:19" ht="21.75" customHeight="1" x14ac:dyDescent="0.3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12" t="str">
        <f t="shared" si="1"/>
        <v/>
      </c>
    </row>
    <row r="71" spans="1:19" ht="21.75" customHeight="1" x14ac:dyDescent="0.3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12" t="str">
        <f t="shared" si="1"/>
        <v/>
      </c>
    </row>
    <row r="72" spans="1:19" ht="21.75" customHeight="1" x14ac:dyDescent="0.3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12" t="str">
        <f t="shared" si="1"/>
        <v/>
      </c>
    </row>
    <row r="73" spans="1:19" ht="21.75" customHeight="1" x14ac:dyDescent="0.3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12" t="str">
        <f t="shared" si="1"/>
        <v/>
      </c>
    </row>
    <row r="74" spans="1:19" ht="21.75" customHeight="1" x14ac:dyDescent="0.35">
      <c r="A74" s="17" t="s">
        <v>147</v>
      </c>
      <c r="B74" s="49" t="s">
        <v>148</v>
      </c>
      <c r="C74" s="49"/>
      <c r="D74" s="41"/>
      <c r="E74" s="18" t="str">
        <f>IFERROR(ROUND(AVERAGE(F10E4:E73),1),"")</f>
        <v/>
      </c>
      <c r="F74" s="18" t="str">
        <f t="shared" ref="F74:L74" si="2">IFERROR(ROUND(AVERAGE(F4:F73),1),"")</f>
        <v/>
      </c>
      <c r="G74" s="18" t="str">
        <f t="shared" si="2"/>
        <v/>
      </c>
      <c r="H74" s="18" t="str">
        <f t="shared" si="2"/>
        <v/>
      </c>
      <c r="I74" s="18" t="str">
        <f t="shared" si="2"/>
        <v/>
      </c>
      <c r="J74" s="18" t="str">
        <f t="shared" si="2"/>
        <v/>
      </c>
      <c r="K74" s="18" t="str">
        <f t="shared" si="2"/>
        <v/>
      </c>
      <c r="L74" s="18" t="str">
        <f t="shared" si="2"/>
        <v/>
      </c>
      <c r="M74" s="18" t="str">
        <f>IFERROR(ROUND(AVERAGE(M4:M73),1),"")</f>
        <v/>
      </c>
      <c r="N74" s="18" t="str">
        <f>IFERROR(ROUND(AVERAGE(N4:N73),1),"")</f>
        <v/>
      </c>
      <c r="O74" s="18" t="str">
        <f t="shared" ref="O74:Q74" si="3">IFERROR(ROUND(AVERAGE(O4:O73),1),"")</f>
        <v/>
      </c>
      <c r="P74" s="18" t="str">
        <f t="shared" si="3"/>
        <v/>
      </c>
      <c r="Q74" s="18" t="str">
        <f t="shared" si="3"/>
        <v/>
      </c>
      <c r="R74" s="18" t="str">
        <f>IFERROR(ROUND(AVERAGE(R4:R73),1),"")</f>
        <v/>
      </c>
      <c r="S74" s="18" t="str">
        <f>IFERROR(ROUND(AVERAGE(S4:S73),1),"")</f>
        <v/>
      </c>
    </row>
  </sheetData>
  <mergeCells count="3">
    <mergeCell ref="A1:T1"/>
    <mergeCell ref="A2:T2"/>
    <mergeCell ref="B74:C74"/>
  </mergeCells>
  <dataValidations count="3">
    <dataValidation type="list" allowBlank="1" sqref="C4:C73" xr:uid="{00000000-0002-0000-0600-000000000000}">
      <formula1>"Dealer/Retailer,Contractor,Distributor/Wholesaler,Customer"</formula1>
      <formula2>0</formula2>
    </dataValidation>
    <dataValidation type="whole" allowBlank="1" sqref="E4:R73" xr:uid="{00000000-0002-0000-0600-000001000000}">
      <formula1>1</formula1>
      <formula2>10</formula2>
    </dataValidation>
    <dataValidation type="list" allowBlank="1" sqref="D4:D73" xr:uid="{55E7DDB5-C464-4E0D-BA57-C91FDE5B37E6}">
      <formula1>"Luxury,Superluxury"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"/>
  <sheetViews>
    <sheetView showGridLines="0" zoomScaleNormal="100" workbookViewId="0">
      <selection activeCell="F5" sqref="F5"/>
    </sheetView>
  </sheetViews>
  <sheetFormatPr defaultColWidth="8.6328125" defaultRowHeight="14.5" x14ac:dyDescent="0.35"/>
  <cols>
    <col min="1" max="1" width="18" customWidth="1"/>
    <col min="2" max="8" width="12" customWidth="1"/>
    <col min="9" max="9" width="13" customWidth="1"/>
    <col min="10" max="11" width="14" customWidth="1"/>
  </cols>
  <sheetData>
    <row r="1" spans="1:11" ht="31.5" customHeight="1" x14ac:dyDescent="0.35">
      <c r="A1" s="58" t="s">
        <v>149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18" customHeight="1" x14ac:dyDescent="0.35">
      <c r="A2" s="59" t="s">
        <v>150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3" spans="1:11" ht="19.5" customHeight="1" x14ac:dyDescent="0.35">
      <c r="A3" s="23" t="s">
        <v>151</v>
      </c>
      <c r="B3" s="60" t="s">
        <v>152</v>
      </c>
      <c r="C3" s="60"/>
      <c r="D3" s="60"/>
      <c r="E3" s="60"/>
      <c r="F3" s="60"/>
      <c r="G3" s="60"/>
      <c r="H3" s="60"/>
      <c r="I3" s="60"/>
      <c r="J3" s="23" t="s">
        <v>153</v>
      </c>
      <c r="K3" s="23" t="s">
        <v>154</v>
      </c>
    </row>
    <row r="4" spans="1:11" ht="39.75" customHeight="1" x14ac:dyDescent="0.35">
      <c r="A4" s="24" t="s">
        <v>155</v>
      </c>
      <c r="B4" s="24" t="s">
        <v>156</v>
      </c>
      <c r="C4" s="24" t="s">
        <v>157</v>
      </c>
      <c r="D4" s="24" t="s">
        <v>158</v>
      </c>
      <c r="E4" s="24" t="s">
        <v>159</v>
      </c>
      <c r="F4" s="24" t="s">
        <v>160</v>
      </c>
      <c r="G4" s="24" t="s">
        <v>161</v>
      </c>
      <c r="H4" s="24" t="s">
        <v>144</v>
      </c>
      <c r="I4" s="24" t="s">
        <v>162</v>
      </c>
      <c r="J4" s="25" t="s">
        <v>163</v>
      </c>
      <c r="K4" s="26" t="s">
        <v>164</v>
      </c>
    </row>
    <row r="5" spans="1:11" ht="31.5" customHeight="1" x14ac:dyDescent="0.35">
      <c r="A5" s="27" t="s">
        <v>165</v>
      </c>
      <c r="B5" s="28"/>
      <c r="C5" s="28"/>
      <c r="D5" s="28"/>
      <c r="E5" s="28"/>
      <c r="F5" s="28"/>
      <c r="G5" s="28"/>
      <c r="H5" s="28"/>
      <c r="I5" s="29" t="str">
        <f>IFERROR(ROUND(AVERAGE(B5:H5),1),"")</f>
        <v/>
      </c>
      <c r="J5" s="28"/>
      <c r="K5" s="30" t="str">
        <f>IFERROR(ROUND(I5*0.5+J5*0.3,1),"")</f>
        <v/>
      </c>
    </row>
    <row r="6" spans="1:11" ht="31.5" customHeight="1" x14ac:dyDescent="0.35">
      <c r="A6" s="31" t="s">
        <v>166</v>
      </c>
      <c r="B6" s="28"/>
      <c r="C6" s="28"/>
      <c r="D6" s="28"/>
      <c r="E6" s="28"/>
      <c r="F6" s="28"/>
      <c r="G6" s="28"/>
      <c r="H6" s="28"/>
      <c r="I6" s="32" t="str">
        <f>IFERROR(ROUND(AVERAGE(B6:H6),1),"")</f>
        <v/>
      </c>
      <c r="J6" s="28"/>
      <c r="K6" s="33" t="str">
        <f>IFERROR(ROUND(I6*0.5+J6*0.3,1),"")</f>
        <v/>
      </c>
    </row>
    <row r="7" spans="1:11" ht="31.5" customHeight="1" x14ac:dyDescent="0.35">
      <c r="A7" s="34" t="s">
        <v>167</v>
      </c>
      <c r="B7" s="28"/>
      <c r="C7" s="28"/>
      <c r="D7" s="28"/>
      <c r="E7" s="28"/>
      <c r="F7" s="28"/>
      <c r="G7" s="28"/>
      <c r="H7" s="28"/>
      <c r="I7" s="35" t="str">
        <f>IFERROR(ROUND(AVERAGE(B7:H7),1),"")</f>
        <v/>
      </c>
      <c r="J7" s="28"/>
      <c r="K7" s="36" t="str">
        <f>IFERROR(ROUND(I7*0.5+J7*0.3,1),"")</f>
        <v/>
      </c>
    </row>
    <row r="8" spans="1:11" ht="31.5" customHeight="1" x14ac:dyDescent="0.35">
      <c r="A8" s="37" t="s">
        <v>168</v>
      </c>
      <c r="B8" s="28"/>
      <c r="C8" s="28"/>
      <c r="D8" s="28"/>
      <c r="E8" s="28"/>
      <c r="F8" s="28"/>
      <c r="G8" s="28"/>
      <c r="H8" s="28"/>
      <c r="I8" s="38" t="str">
        <f>IFERROR(ROUND(AVERAGE(B8:H8),1),"")</f>
        <v/>
      </c>
      <c r="J8" s="28"/>
      <c r="K8" s="39" t="str">
        <f>IFERROR(ROUND(I8*0.5+J8*0.3,1),"")</f>
        <v/>
      </c>
    </row>
    <row r="10" spans="1:11" ht="30" customHeight="1" x14ac:dyDescent="0.35">
      <c r="A10" s="48" t="s">
        <v>169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</row>
    <row r="11" spans="1:11" ht="24" customHeight="1" x14ac:dyDescent="0.35">
      <c r="A11" s="18" t="s">
        <v>170</v>
      </c>
      <c r="B11" s="40" t="str">
        <f t="shared" ref="B11:K11" si="0">IFERROR(INDEX($A$5:$A$8,MATCH(MAX(B5:B8),B5:B8,0)),"-")</f>
        <v>-</v>
      </c>
      <c r="C11" s="40" t="str">
        <f t="shared" si="0"/>
        <v>-</v>
      </c>
      <c r="D11" s="40" t="str">
        <f t="shared" si="0"/>
        <v>-</v>
      </c>
      <c r="E11" s="40" t="str">
        <f t="shared" si="0"/>
        <v>-</v>
      </c>
      <c r="F11" s="40" t="str">
        <f t="shared" si="0"/>
        <v>-</v>
      </c>
      <c r="G11" s="40" t="str">
        <f t="shared" si="0"/>
        <v>-</v>
      </c>
      <c r="H11" s="40" t="str">
        <f t="shared" si="0"/>
        <v>-</v>
      </c>
      <c r="I11" s="40" t="str">
        <f t="shared" si="0"/>
        <v>-</v>
      </c>
      <c r="J11" s="40" t="str">
        <f t="shared" si="0"/>
        <v>-</v>
      </c>
      <c r="K11" s="40" t="str">
        <f t="shared" si="0"/>
        <v>-</v>
      </c>
    </row>
  </sheetData>
  <mergeCells count="4">
    <mergeCell ref="A1:K1"/>
    <mergeCell ref="A2:K2"/>
    <mergeCell ref="B3:I3"/>
    <mergeCell ref="A10:K10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a9eb605-c732-4123-8b1f-0dd9db947871}" enabled="1" method="Privileged" siteId="{aab2e961-1f45-4717-9a42-8f87802af9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📋 Instructions</vt:lpstr>
      <vt:lpstr>🏪 Dealer_Retailer</vt:lpstr>
      <vt:lpstr>🔨 Contractor</vt:lpstr>
      <vt:lpstr>🏭 Distributor_Wholesaler</vt:lpstr>
      <vt:lpstr>👤 Customer</vt:lpstr>
      <vt:lpstr>📊 Brand_Mention_Freq</vt:lpstr>
      <vt:lpstr>🔢 Sentiment_Coding</vt:lpstr>
      <vt:lpstr>🏆 Master_Benchmark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(JSW) Ramakant Paul</cp:lastModifiedBy>
  <cp:revision>0</cp:revision>
  <dcterms:created xsi:type="dcterms:W3CDTF">2026-06-01T10:36:39Z</dcterms:created>
  <dcterms:modified xsi:type="dcterms:W3CDTF">2026-06-26T06:55:07Z</dcterms:modified>
  <dc:language>en-US</dc:language>
</cp:coreProperties>
</file>