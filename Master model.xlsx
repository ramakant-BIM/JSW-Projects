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kzonobel-my.sharepoint.com/personal/ramakant_paul_akzonobel_com/Documents/Documents/JSW_packaging/ML_model/"/>
    </mc:Choice>
  </mc:AlternateContent>
  <xr:revisionPtr revIDLastSave="2" documentId="8_{864AE526-6977-443E-8F6C-F924BE0B6A54}" xr6:coauthVersionLast="47" xr6:coauthVersionMax="47" xr10:uidLastSave="{7A241314-0A12-4C6E-8F7B-790E3CBC85A5}"/>
  <bookViews>
    <workbookView xWindow="-110" yWindow="-110" windowWidth="19420" windowHeight="11500" tabRatio="647" firstSheet="3" activeTab="6" xr2:uid="{00000000-000D-0000-FFFF-FFFF00000000}"/>
  </bookViews>
  <sheets>
    <sheet name="📋 HOW TO USE" sheetId="1" r:id="rId1"/>
    <sheet name="📝 DATA ENTRY" sheetId="2" r:id="rId2"/>
    <sheet name="📊 PEEF Analysis" sheetId="3" r:id="rId3"/>
    <sheet name="🏆 Benchmarking" sheetId="4" r:id="rId4"/>
    <sheet name="📈 Ranking Analysis" sheetId="5" r:id="rId5"/>
    <sheet name="🔢 Mention Frequency" sheetId="6" r:id="rId6"/>
    <sheet name="🎯 Master Summary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55" i="6" l="1"/>
  <c r="E6" i="7" s="1"/>
  <c r="E44" i="4"/>
  <c r="E7" i="7"/>
  <c r="E8" i="7"/>
  <c r="E5" i="7"/>
  <c r="C56" i="6"/>
  <c r="C57" i="6"/>
  <c r="C54" i="6"/>
  <c r="D6" i="7"/>
  <c r="D7" i="7"/>
  <c r="D8" i="7"/>
  <c r="D5" i="7"/>
  <c r="C37" i="5"/>
  <c r="C38" i="5"/>
  <c r="C39" i="5"/>
  <c r="C36" i="5"/>
  <c r="D44" i="4"/>
  <c r="F5" i="6"/>
  <c r="G6" i="5"/>
  <c r="H5" i="5"/>
  <c r="F5" i="5"/>
  <c r="G5" i="5"/>
  <c r="C6" i="5"/>
  <c r="E5" i="5"/>
  <c r="D5" i="5"/>
  <c r="C5" i="5"/>
  <c r="D8" i="4"/>
  <c r="D32" i="3"/>
  <c r="D23" i="3"/>
  <c r="D13" i="3"/>
  <c r="D9" i="3"/>
  <c r="D5" i="3"/>
  <c r="I8" i="7" l="1"/>
  <c r="I7" i="7"/>
  <c r="I6" i="7"/>
  <c r="I5" i="7"/>
  <c r="C50" i="6"/>
  <c r="F50" i="6" s="1"/>
  <c r="C49" i="6"/>
  <c r="F49" i="6" s="1"/>
  <c r="C48" i="6"/>
  <c r="F48" i="6" s="1"/>
  <c r="C47" i="6"/>
  <c r="F47" i="6" s="1"/>
  <c r="C44" i="6"/>
  <c r="F44" i="6" s="1"/>
  <c r="C43" i="6"/>
  <c r="F43" i="6" s="1"/>
  <c r="C42" i="6"/>
  <c r="F42" i="6" s="1"/>
  <c r="C41" i="6"/>
  <c r="D42" i="6" s="1"/>
  <c r="C38" i="6"/>
  <c r="F38" i="6" s="1"/>
  <c r="C37" i="6"/>
  <c r="F37" i="6" s="1"/>
  <c r="C36" i="6"/>
  <c r="F36" i="6" s="1"/>
  <c r="C35" i="6"/>
  <c r="D37" i="6" s="1"/>
  <c r="C32" i="6"/>
  <c r="F32" i="6" s="1"/>
  <c r="C31" i="6"/>
  <c r="F31" i="6" s="1"/>
  <c r="C30" i="6"/>
  <c r="F30" i="6" s="1"/>
  <c r="C29" i="6"/>
  <c r="F29" i="6" s="1"/>
  <c r="C26" i="6"/>
  <c r="F26" i="6" s="1"/>
  <c r="C25" i="6"/>
  <c r="F25" i="6" s="1"/>
  <c r="C24" i="6"/>
  <c r="F24" i="6" s="1"/>
  <c r="C23" i="6"/>
  <c r="D24" i="6" s="1"/>
  <c r="C20" i="6"/>
  <c r="F20" i="6" s="1"/>
  <c r="C19" i="6"/>
  <c r="F19" i="6" s="1"/>
  <c r="C18" i="6"/>
  <c r="F18" i="6" s="1"/>
  <c r="C17" i="6"/>
  <c r="D19" i="6" s="1"/>
  <c r="C14" i="6"/>
  <c r="F14" i="6" s="1"/>
  <c r="C13" i="6"/>
  <c r="F13" i="6" s="1"/>
  <c r="C12" i="6"/>
  <c r="F12" i="6" s="1"/>
  <c r="C11" i="6"/>
  <c r="F11" i="6" s="1"/>
  <c r="C8" i="6"/>
  <c r="F8" i="6" s="1"/>
  <c r="C7" i="6"/>
  <c r="F7" i="6" s="1"/>
  <c r="C6" i="6"/>
  <c r="F6" i="6" s="1"/>
  <c r="C5" i="6"/>
  <c r="D6" i="6" s="1"/>
  <c r="E32" i="5"/>
  <c r="D32" i="5"/>
  <c r="C32" i="5"/>
  <c r="F32" i="5" s="1"/>
  <c r="E31" i="5"/>
  <c r="D31" i="5"/>
  <c r="C31" i="5"/>
  <c r="F31" i="5" s="1"/>
  <c r="E30" i="5"/>
  <c r="D30" i="5"/>
  <c r="C30" i="5"/>
  <c r="F30" i="5" s="1"/>
  <c r="G30" i="5" s="1"/>
  <c r="H30" i="5" s="1"/>
  <c r="E29" i="5"/>
  <c r="D29" i="5"/>
  <c r="C29" i="5"/>
  <c r="F29" i="5" s="1"/>
  <c r="E26" i="5"/>
  <c r="D26" i="5"/>
  <c r="C26" i="5"/>
  <c r="F26" i="5" s="1"/>
  <c r="E25" i="5"/>
  <c r="D25" i="5"/>
  <c r="C25" i="5"/>
  <c r="F25" i="5" s="1"/>
  <c r="E24" i="5"/>
  <c r="D24" i="5"/>
  <c r="C24" i="5"/>
  <c r="F24" i="5" s="1"/>
  <c r="G24" i="5" s="1"/>
  <c r="H24" i="5" s="1"/>
  <c r="E23" i="5"/>
  <c r="D23" i="5"/>
  <c r="C23" i="5"/>
  <c r="F23" i="5" s="1"/>
  <c r="E20" i="5"/>
  <c r="D20" i="5"/>
  <c r="C20" i="5"/>
  <c r="F20" i="5" s="1"/>
  <c r="E19" i="5"/>
  <c r="D19" i="5"/>
  <c r="C19" i="5"/>
  <c r="F19" i="5" s="1"/>
  <c r="E18" i="5"/>
  <c r="D18" i="5"/>
  <c r="C18" i="5"/>
  <c r="F18" i="5" s="1"/>
  <c r="G18" i="5" s="1"/>
  <c r="H18" i="5" s="1"/>
  <c r="E17" i="5"/>
  <c r="D17" i="5"/>
  <c r="C17" i="5"/>
  <c r="F17" i="5" s="1"/>
  <c r="E14" i="5"/>
  <c r="D14" i="5"/>
  <c r="C14" i="5"/>
  <c r="F14" i="5" s="1"/>
  <c r="E13" i="5"/>
  <c r="D13" i="5"/>
  <c r="C13" i="5"/>
  <c r="F13" i="5" s="1"/>
  <c r="E12" i="5"/>
  <c r="D12" i="5"/>
  <c r="C12" i="5"/>
  <c r="F12" i="5" s="1"/>
  <c r="G12" i="5" s="1"/>
  <c r="H12" i="5" s="1"/>
  <c r="E11" i="5"/>
  <c r="D11" i="5"/>
  <c r="C11" i="5"/>
  <c r="F11" i="5" s="1"/>
  <c r="E8" i="5"/>
  <c r="D8" i="5"/>
  <c r="C8" i="5"/>
  <c r="F8" i="5" s="1"/>
  <c r="E7" i="5"/>
  <c r="D7" i="5"/>
  <c r="C7" i="5"/>
  <c r="F7" i="5" s="1"/>
  <c r="E6" i="5"/>
  <c r="D6" i="5"/>
  <c r="F6" i="5"/>
  <c r="G41" i="4"/>
  <c r="F41" i="4"/>
  <c r="E41" i="4"/>
  <c r="D41" i="4"/>
  <c r="G40" i="4"/>
  <c r="F40" i="4"/>
  <c r="E40" i="4"/>
  <c r="D40" i="4"/>
  <c r="G39" i="4"/>
  <c r="G42" i="4" s="1"/>
  <c r="F39" i="4"/>
  <c r="E39" i="4"/>
  <c r="D39" i="4"/>
  <c r="G38" i="4"/>
  <c r="F38" i="4"/>
  <c r="E38" i="4"/>
  <c r="D38" i="4"/>
  <c r="G37" i="4"/>
  <c r="F37" i="4"/>
  <c r="F42" i="4" s="1"/>
  <c r="E37" i="4"/>
  <c r="E42" i="4" s="1"/>
  <c r="D37" i="4"/>
  <c r="D42" i="4" s="1"/>
  <c r="G33" i="4"/>
  <c r="F33" i="4"/>
  <c r="E33" i="4"/>
  <c r="D33" i="4"/>
  <c r="G32" i="4"/>
  <c r="F32" i="4"/>
  <c r="E32" i="4"/>
  <c r="D32" i="4"/>
  <c r="G31" i="4"/>
  <c r="G34" i="4" s="1"/>
  <c r="F31" i="4"/>
  <c r="E31" i="4"/>
  <c r="D31" i="4"/>
  <c r="G30" i="4"/>
  <c r="F30" i="4"/>
  <c r="E30" i="4"/>
  <c r="E34" i="4" s="1"/>
  <c r="D30" i="4"/>
  <c r="G29" i="4"/>
  <c r="F29" i="4"/>
  <c r="F34" i="4" s="1"/>
  <c r="E29" i="4"/>
  <c r="D29" i="4"/>
  <c r="D34" i="4" s="1"/>
  <c r="G25" i="4"/>
  <c r="F25" i="4"/>
  <c r="E25" i="4"/>
  <c r="D25" i="4"/>
  <c r="G24" i="4"/>
  <c r="F24" i="4"/>
  <c r="E24" i="4"/>
  <c r="D24" i="4"/>
  <c r="G23" i="4"/>
  <c r="G26" i="4" s="1"/>
  <c r="F23" i="4"/>
  <c r="E23" i="4"/>
  <c r="D23" i="4"/>
  <c r="G22" i="4"/>
  <c r="F22" i="4"/>
  <c r="E22" i="4"/>
  <c r="E26" i="4" s="1"/>
  <c r="D22" i="4"/>
  <c r="G21" i="4"/>
  <c r="F21" i="4"/>
  <c r="F26" i="4" s="1"/>
  <c r="E21" i="4"/>
  <c r="D21" i="4"/>
  <c r="D26" i="4" s="1"/>
  <c r="G17" i="4"/>
  <c r="F17" i="4"/>
  <c r="E17" i="4"/>
  <c r="D17" i="4"/>
  <c r="G16" i="4"/>
  <c r="F16" i="4"/>
  <c r="E16" i="4"/>
  <c r="D16" i="4"/>
  <c r="G15" i="4"/>
  <c r="F15" i="4"/>
  <c r="E15" i="4"/>
  <c r="D15" i="4"/>
  <c r="G14" i="4"/>
  <c r="G18" i="4" s="1"/>
  <c r="F14" i="4"/>
  <c r="E14" i="4"/>
  <c r="E18" i="4" s="1"/>
  <c r="D14" i="4"/>
  <c r="G13" i="4"/>
  <c r="F13" i="4"/>
  <c r="F18" i="4" s="1"/>
  <c r="E13" i="4"/>
  <c r="D13" i="4"/>
  <c r="D18" i="4" s="1"/>
  <c r="G9" i="4"/>
  <c r="F9" i="4"/>
  <c r="E9" i="4"/>
  <c r="D9" i="4"/>
  <c r="G8" i="4"/>
  <c r="F8" i="4"/>
  <c r="E8" i="4"/>
  <c r="G7" i="4"/>
  <c r="F7" i="4"/>
  <c r="E7" i="4"/>
  <c r="D7" i="4"/>
  <c r="G6" i="4"/>
  <c r="G10" i="4" s="1"/>
  <c r="G44" i="4" s="1"/>
  <c r="C8" i="7" s="1"/>
  <c r="F6" i="4"/>
  <c r="E6" i="4"/>
  <c r="E10" i="4" s="1"/>
  <c r="D6" i="4"/>
  <c r="G5" i="4"/>
  <c r="F5" i="4"/>
  <c r="F10" i="4" s="1"/>
  <c r="E5" i="4"/>
  <c r="D5" i="4"/>
  <c r="D10" i="4" s="1"/>
  <c r="G29" i="3"/>
  <c r="F29" i="3"/>
  <c r="E29" i="3"/>
  <c r="D29" i="3"/>
  <c r="G28" i="3"/>
  <c r="F28" i="3"/>
  <c r="E28" i="3"/>
  <c r="D28" i="3"/>
  <c r="G27" i="3"/>
  <c r="G30" i="3" s="1"/>
  <c r="F27" i="3"/>
  <c r="E27" i="3"/>
  <c r="E30" i="3" s="1"/>
  <c r="D27" i="3"/>
  <c r="D30" i="3" s="1"/>
  <c r="G26" i="3"/>
  <c r="F26" i="3"/>
  <c r="F30" i="3" s="1"/>
  <c r="E26" i="3"/>
  <c r="D26" i="3"/>
  <c r="G22" i="3"/>
  <c r="F22" i="3"/>
  <c r="E22" i="3"/>
  <c r="D22" i="3"/>
  <c r="G21" i="3"/>
  <c r="F21" i="3"/>
  <c r="E21" i="3"/>
  <c r="D21" i="3"/>
  <c r="G20" i="3"/>
  <c r="F20" i="3"/>
  <c r="E20" i="3"/>
  <c r="D20" i="3"/>
  <c r="G19" i="3"/>
  <c r="G23" i="3" s="1"/>
  <c r="F19" i="3"/>
  <c r="F23" i="3" s="1"/>
  <c r="E19" i="3"/>
  <c r="E23" i="3" s="1"/>
  <c r="D19" i="3"/>
  <c r="G15" i="3"/>
  <c r="F15" i="3"/>
  <c r="E15" i="3"/>
  <c r="D15" i="3"/>
  <c r="G14" i="3"/>
  <c r="F14" i="3"/>
  <c r="E14" i="3"/>
  <c r="D14" i="3"/>
  <c r="G13" i="3"/>
  <c r="F13" i="3"/>
  <c r="F16" i="3" s="1"/>
  <c r="E13" i="3"/>
  <c r="D16" i="3"/>
  <c r="G12" i="3"/>
  <c r="G16" i="3" s="1"/>
  <c r="F12" i="3"/>
  <c r="E12" i="3"/>
  <c r="E16" i="3" s="1"/>
  <c r="D12" i="3"/>
  <c r="G8" i="3"/>
  <c r="F8" i="3"/>
  <c r="E8" i="3"/>
  <c r="D8" i="3"/>
  <c r="G7" i="3"/>
  <c r="F7" i="3"/>
  <c r="E7" i="3"/>
  <c r="D7" i="3"/>
  <c r="G6" i="3"/>
  <c r="F6" i="3"/>
  <c r="E6" i="3"/>
  <c r="E9" i="3" s="1"/>
  <c r="E32" i="3" s="1"/>
  <c r="B6" i="7" s="1"/>
  <c r="D6" i="3"/>
  <c r="G5" i="3"/>
  <c r="G9" i="3" s="1"/>
  <c r="F5" i="3"/>
  <c r="F9" i="3" s="1"/>
  <c r="E5" i="3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H6" i="5" l="1"/>
  <c r="G11" i="5"/>
  <c r="H11" i="5" s="1"/>
  <c r="G17" i="5"/>
  <c r="H17" i="5" s="1"/>
  <c r="G23" i="5"/>
  <c r="H23" i="5" s="1"/>
  <c r="G29" i="5"/>
  <c r="H29" i="5" s="1"/>
  <c r="F44" i="4"/>
  <c r="C7" i="7" s="1"/>
  <c r="C6" i="7"/>
  <c r="F6" i="7" s="1"/>
  <c r="F32" i="3"/>
  <c r="B7" i="7" s="1"/>
  <c r="F7" i="7" s="1"/>
  <c r="G7" i="5"/>
  <c r="H7" i="5" s="1"/>
  <c r="G19" i="5"/>
  <c r="H19" i="5" s="1"/>
  <c r="G25" i="5"/>
  <c r="H25" i="5" s="1"/>
  <c r="G31" i="5"/>
  <c r="H31" i="5" s="1"/>
  <c r="G32" i="3"/>
  <c r="B8" i="7" s="1"/>
  <c r="F8" i="7" s="1"/>
  <c r="G13" i="5"/>
  <c r="H13" i="5" s="1"/>
  <c r="B5" i="7"/>
  <c r="C5" i="7"/>
  <c r="F5" i="7" s="1"/>
  <c r="G8" i="5"/>
  <c r="H8" i="5" s="1"/>
  <c r="G14" i="5"/>
  <c r="H14" i="5" s="1"/>
  <c r="G20" i="5"/>
  <c r="H20" i="5" s="1"/>
  <c r="G26" i="5"/>
  <c r="H26" i="5" s="1"/>
  <c r="G32" i="5"/>
  <c r="H32" i="5" s="1"/>
  <c r="D7" i="6"/>
  <c r="E7" i="6" s="1"/>
  <c r="D12" i="6"/>
  <c r="D17" i="6"/>
  <c r="D20" i="6"/>
  <c r="D25" i="6"/>
  <c r="E25" i="6" s="1"/>
  <c r="D30" i="6"/>
  <c r="E30" i="6" s="1"/>
  <c r="D35" i="6"/>
  <c r="E35" i="6" s="1"/>
  <c r="D38" i="6"/>
  <c r="E38" i="6" s="1"/>
  <c r="D43" i="6"/>
  <c r="D48" i="6"/>
  <c r="E12" i="6"/>
  <c r="E17" i="6"/>
  <c r="E20" i="6"/>
  <c r="E43" i="6"/>
  <c r="E48" i="6"/>
  <c r="F17" i="6"/>
  <c r="F35" i="6"/>
  <c r="D5" i="6"/>
  <c r="E5" i="6" s="1"/>
  <c r="D8" i="6"/>
  <c r="E8" i="6" s="1"/>
  <c r="D13" i="6"/>
  <c r="E13" i="6" s="1"/>
  <c r="D18" i="6"/>
  <c r="D23" i="6"/>
  <c r="D26" i="6"/>
  <c r="E26" i="6" s="1"/>
  <c r="D31" i="6"/>
  <c r="E31" i="6" s="1"/>
  <c r="D36" i="6"/>
  <c r="E36" i="6" s="1"/>
  <c r="D41" i="6"/>
  <c r="E41" i="6" s="1"/>
  <c r="D44" i="6"/>
  <c r="E44" i="6" s="1"/>
  <c r="D49" i="6"/>
  <c r="E18" i="6"/>
  <c r="E23" i="6"/>
  <c r="E49" i="6"/>
  <c r="F23" i="6"/>
  <c r="F41" i="6"/>
  <c r="D11" i="6"/>
  <c r="E11" i="6" s="1"/>
  <c r="D14" i="6"/>
  <c r="E14" i="6" s="1"/>
  <c r="D29" i="6"/>
  <c r="E29" i="6" s="1"/>
  <c r="D32" i="6"/>
  <c r="D47" i="6"/>
  <c r="E47" i="6" s="1"/>
  <c r="D50" i="6"/>
  <c r="E50" i="6" s="1"/>
  <c r="E6" i="6"/>
  <c r="E19" i="6"/>
  <c r="E24" i="6"/>
  <c r="E32" i="6"/>
  <c r="E37" i="6"/>
  <c r="E42" i="6"/>
  <c r="H6" i="7" l="1"/>
  <c r="G6" i="7"/>
  <c r="H7" i="7"/>
  <c r="G7" i="7"/>
  <c r="H8" i="7"/>
  <c r="G8" i="7"/>
  <c r="H5" i="7" l="1"/>
  <c r="G5" i="7"/>
</calcChain>
</file>

<file path=xl/sharedStrings.xml><?xml version="1.0" encoding="utf-8"?>
<sst xmlns="http://schemas.openxmlformats.org/spreadsheetml/2006/main" count="665" uniqueCount="469">
  <si>
    <t>🎨  PAINT PACKAGING BENCHMARKING — MASTER DATA COLLECTION SYSTEM</t>
  </si>
  <si>
    <t>PROJECT: Product Packaging Revision &amp; Relaunch  |  Brands: Asian Paints | Birla Opus | Dulux Paints | JSW Paints</t>
  </si>
  <si>
    <t>📌  WHAT IS THIS FILE?</t>
  </si>
  <si>
    <t>This file is your complete, single-shot data collection system for Paint Packaging Benchmarking.</t>
  </si>
  <si>
    <t>ONE ROW = ONE OBSERVER. Each person fills in their scores ONCE. All analysis updates automatically.</t>
  </si>
  <si>
    <t>Sheets: (1) HOW TO USE  (2) 📝 DATA ENTRY — the only sheet observers fill  (3-7) Analysis sheets — auto-calculated, do not edit manually.</t>
  </si>
  <si>
    <t>📂  SHEET GUIDE</t>
  </si>
  <si>
    <t>📝 DATA ENTRY     → The only sheet you/observers fill. One row per observer. Dropdowns throughout.</t>
  </si>
  <si>
    <t>📊 PEEF Analysis  → Auto-calculates Packaging Effectiveness Score per brand (Visibility, Premium, SKU, Communication).</t>
  </si>
  <si>
    <t>🏆 Benchmarking   → Auto-scores all 5 pillars of the Benchmarking Framework (25 parameters × 4 brands).</t>
  </si>
  <si>
    <t>📈 Brand Ranking  → Aggregates ranking scores (Rank 1=5pts, Rank 2=3pts, Rank 3=1pt) per brand per dimension.</t>
  </si>
  <si>
    <t>🔢 Coding Matrix  → Converts brand-mention frequency into scores /10 using Method 1 formula.</t>
  </si>
  <si>
    <t>🎯 Master Summary → Final PES, PEI, Ranking Score, Mention Score → ONE combined index per brand. Ready for PPT.</t>
  </si>
  <si>
    <t>✍️  HOW TO COLLECT DATA (Step by Step)</t>
  </si>
  <si>
    <t>STEP 1 — Go to 📝 DATA ENTRY sheet. Each observer fills one row from left to right.</t>
  </si>
  <si>
    <t>STEP 2 — Fill profile columns: Name, Date, Location, Stakeholder Type (dropdown), Experience.</t>
  </si>
  <si>
    <t>STEP 3 — Score columns B1–B25 (PEEF scores): Rate each brand on each parameter using 1–10 scale. Use dropdowns.</t>
  </si>
  <si>
    <t>STEP 4 — Fill ranking columns: Rank Top 3 brands for each dimension (e.g., Q_VIS_R1 = brand ranked 1st for Visibility).</t>
  </si>
  <si>
    <t>STEP 5 — Fill brand mention columns: Which brand did you mention most for each theme? Select from dropdown.</t>
  </si>
  <si>
    <t>STEP 6 — After all observers are done, check 🎯 Master Summary for final brand scores.</t>
  </si>
  <si>
    <t>NOTE — You can have 100+ observers in the same sheet. Just add rows. All formulas auto-expand via AVERAGEIF.</t>
  </si>
  <si>
    <t>📏  SCORING SCALE (Use consistently across all score columns)</t>
  </si>
  <si>
    <t>10 = Best in Market (World-class, sets the benchmark)</t>
  </si>
  <si>
    <t xml:space="preserve"> 9 = Excellent (Clearly superior)</t>
  </si>
  <si>
    <t xml:space="preserve"> 8 = Very Good (Strong performance, minor gaps)</t>
  </si>
  <si>
    <t xml:space="preserve"> 7 = Good (Above average, noticeable strengths)</t>
  </si>
  <si>
    <t xml:space="preserve"> 6 = Slightly Above Average</t>
  </si>
  <si>
    <t xml:space="preserve"> 5 = Average (Neither strong nor weak)</t>
  </si>
  <si>
    <t xml:space="preserve"> 4 = Slightly Below Average</t>
  </si>
  <si>
    <t xml:space="preserve"> 3 = Below Average / Confusing</t>
  </si>
  <si>
    <t xml:space="preserve"> 2 = Poor</t>
  </si>
  <si>
    <t xml:space="preserve"> 1 = Very Poor / Fails completely</t>
  </si>
  <si>
    <t>👥  WHO FILLS WHAT (Stakeholder Guide)</t>
  </si>
  <si>
    <t>Dealer/Retailer   → PEEF: Visibility + SKU Clarity + Communication  |  Benchmarking: Retail &amp; Trade pillar</t>
  </si>
  <si>
    <t>Contractor/Painter→ PEEF: SKU Clarity + Visibility  |  Benchmarking: Retail &amp; Trade, SKU Architecture</t>
  </si>
  <si>
    <t>End Consumer      → PEEF: Premium Feel + Communication  |  Benchmarking: Visual Identity, Premium Perception</t>
  </si>
  <si>
    <t>Architect/Designer→ PEEF: Premium Feel  |  Benchmarking: Premium Perception, Visual Identity</t>
  </si>
  <si>
    <t>Distributor/Whol. → PEEF: SKU Clarity  |  Benchmarking: SKU Architecture</t>
  </si>
  <si>
    <t>Researcher (You)  → ALL columns — do a full shelf audit for each brand</t>
  </si>
  <si>
    <t>TIP: If a stakeholder type doesn't evaluate a dimension, they can leave those cells blank. Formulas handle blanks.</t>
  </si>
  <si>
    <t>📝  PAINT PACKAGING BENCHMARKING — MASTER DATA ENTRY SHEET  |  ONE ROW = ONE OBSERVER  |  Fill dropdowns throughout</t>
  </si>
  <si>
    <t>SCALE: 1=Very Poor | 3=Poor | 5=Average | 7=Good | 8=Very Good | 9=Excellent | 10=Best in Market    |    BRANDS: AP=Asian Paints | BO=Birla Opus | DP=Dulux Paints | JSW=JSW Paints</t>
  </si>
  <si>
    <t>OBSERVER PROFILE</t>
  </si>
  <si>
    <t>PEEF DIM 1: VISIBILITY (Score each brand 1-10)</t>
  </si>
  <si>
    <t>PEEF DIM 2: PREMIUM FEEL (Score each brand 1-10)</t>
  </si>
  <si>
    <t>PEEF DIM 3: SKU CLARITY (Score each brand 1-10)</t>
  </si>
  <si>
    <t>PEEF DIM 4: COMMUNICATION EFFECTIVENESS (Score each brand 1-10)</t>
  </si>
  <si>
    <t>BENCHMARKING PILLAR 1: VISUAL IDENTITY (1-10)</t>
  </si>
  <si>
    <t>BENCHMARKING PILLAR 2: COMMUNICATION (1-10)</t>
  </si>
  <si>
    <t>BENCHMARKING PILLAR 3: SKU ARCHITECTURE (1-10)</t>
  </si>
  <si>
    <t>BENCHMARKING PILLAR 4: RETAIL &amp; TRADE (1-10)</t>
  </si>
  <si>
    <t>BENCHMARKING PILLAR 5: PREMIUM PERCEPTION (1-10)</t>
  </si>
  <si>
    <t>BRAND RANKINGS — Rank Top 3 Brands per Dimension (select from dropdown)</t>
  </si>
  <si>
    <t>BRAND MENTION CODING — Which brand comes to mind FIRST? (select from dropdown)</t>
  </si>
  <si>
    <t>Fill for every observer</t>
  </si>
  <si>
    <t>Brand Visibility (Logo Prominence)</t>
  </si>
  <si>
    <t>Shelf Impact (Stand-out on shelf)</t>
  </si>
  <si>
    <t>Color Contrast (Visual differentiation)</t>
  </si>
  <si>
    <t>Distance Recognition (5–10 feet)</t>
  </si>
  <si>
    <t>Luxury Appeal (Aspirational look)</t>
  </si>
  <si>
    <t>Design Sophistication (Modernity)</t>
  </si>
  <si>
    <t>Premium Cues (Metallics, gradients, typo)</t>
  </si>
  <si>
    <t>Trust Perception (Reliability signals)</t>
  </si>
  <si>
    <t>Variant Differentiation (SKU to SKU)</t>
  </si>
  <si>
    <t>Segment Differentiation (Economy/Premium/Luxury)</t>
  </si>
  <si>
    <t>Color Coding Logic (Visual navigation ease)</t>
  </si>
  <si>
    <t>Naming Structure (Product name clarity)</t>
  </si>
  <si>
    <t>Product Type Clarity (Interior/Exterior/Primer)</t>
  </si>
  <si>
    <t>Benefit Communication (Claims visibility)</t>
  </si>
  <si>
    <t>Information Hierarchy (Logical flow)</t>
  </si>
  <si>
    <t>Readability (Ease of understanding text)</t>
  </si>
  <si>
    <t>Brand Visibility (Logo prominence)</t>
  </si>
  <si>
    <t>Design Modernity</t>
  </si>
  <si>
    <t>Typography Readability</t>
  </si>
  <si>
    <t>Color Consistency with brand</t>
  </si>
  <si>
    <t>Visual Appeal (Overall attractiveness)</t>
  </si>
  <si>
    <t>Product Category Clarity (Int/Ext/Primer)</t>
  </si>
  <si>
    <t>Benefit Visibility (Claims on pack)</t>
  </si>
  <si>
    <t>Finish Communication (Matte/Gloss/Satin)</t>
  </si>
  <si>
    <t>Information Hierarchy</t>
  </si>
  <si>
    <t>Readability of communication</t>
  </si>
  <si>
    <t>Variant Differentiation</t>
  </si>
  <si>
    <t>Segment Differentiation (Luxury/Economy)</t>
  </si>
  <si>
    <t>Colour Coding Logic</t>
  </si>
  <si>
    <t>Naming Structure</t>
  </si>
  <si>
    <t>Portfolio Consistency</t>
  </si>
  <si>
    <t>Shelf Visibility</t>
  </si>
  <si>
    <t>Distance Recognition</t>
  </si>
  <si>
    <t>Dealer Recommendation Ease</t>
  </si>
  <si>
    <t>Contractor Recognition</t>
  </si>
  <si>
    <t>Product Retrieval Speed</t>
  </si>
  <si>
    <t>Luxury Appeal</t>
  </si>
  <si>
    <t>Trust Perception</t>
  </si>
  <si>
    <t>Emotional Appeal</t>
  </si>
  <si>
    <t>Material/Pack Quality Perception</t>
  </si>
  <si>
    <t>Modern Appearance</t>
  </si>
  <si>
    <t>Shelf Visibility — Which brand stands out most?</t>
  </si>
  <si>
    <t>Premium Feel — Which brand looks most premium?</t>
  </si>
  <si>
    <t>SKU Clarity — Which brand is easiest to navigate?</t>
  </si>
  <si>
    <t>Communication — Which brand communicates best?</t>
  </si>
  <si>
    <t>Overall — Which brand has the best packaging overall?</t>
  </si>
  <si>
    <t>Fastest Moving / Most Recommended by you</t>
  </si>
  <si>
    <t>First Noticed on Shelf (instinctive)</t>
  </si>
  <si>
    <t>Looks Most Premium</t>
  </si>
  <si>
    <t>Creates Highest Trust</t>
  </si>
  <si>
    <t>Easiest to Understand</t>
  </si>
  <si>
    <t>Most Confusing Packaging</t>
  </si>
  <si>
    <t>Looks Most Modern</t>
  </si>
  <si>
    <t>Would You Personally Recommend / Buy</t>
  </si>
  <si>
    <t>Obs. ID</t>
  </si>
  <si>
    <t>Observer Name</t>
  </si>
  <si>
    <t>Interview Date</t>
  </si>
  <si>
    <t>City / Location</t>
  </si>
  <si>
    <t>Stakeholder Type</t>
  </si>
  <si>
    <t>Exp. (Years)</t>
  </si>
  <si>
    <t>AP
BV (30%)</t>
  </si>
  <si>
    <t>BO
BV (30%)</t>
  </si>
  <si>
    <t>DP
BV (30%)</t>
  </si>
  <si>
    <t>JSW
BV (30%)</t>
  </si>
  <si>
    <t>AP
SI (30%)</t>
  </si>
  <si>
    <t>BO
SI (30%)</t>
  </si>
  <si>
    <t>DP
SI (30%)</t>
  </si>
  <si>
    <t>JSW
SI (30%)</t>
  </si>
  <si>
    <t>AP
CC (20%)</t>
  </si>
  <si>
    <t>BO
CC (20%)</t>
  </si>
  <si>
    <t>DP
CC (20%)</t>
  </si>
  <si>
    <t>JSW
CC (20%)</t>
  </si>
  <si>
    <t>AP
DR (20%)</t>
  </si>
  <si>
    <t>BO
DR (20%)</t>
  </si>
  <si>
    <t>DP
DR (20%)</t>
  </si>
  <si>
    <t>JSW
DR (20%)</t>
  </si>
  <si>
    <t>AP
LA (25%)</t>
  </si>
  <si>
    <t>BO
LA (25%)</t>
  </si>
  <si>
    <t>DP
LA (25%)</t>
  </si>
  <si>
    <t>JSW
LA (25%)</t>
  </si>
  <si>
    <t>AP
DS (25%)</t>
  </si>
  <si>
    <t>BO
DS (25%)</t>
  </si>
  <si>
    <t>DP
DS (25%)</t>
  </si>
  <si>
    <t>JSW
DS (25%)</t>
  </si>
  <si>
    <t>AP
PC (25%)</t>
  </si>
  <si>
    <t>BO
PC (25%)</t>
  </si>
  <si>
    <t>DP
PC (25%)</t>
  </si>
  <si>
    <t>JSW
PC (25%)</t>
  </si>
  <si>
    <t>AP
TP (25%)</t>
  </si>
  <si>
    <t>BO
TP (25%)</t>
  </si>
  <si>
    <t>DP
TP (25%)</t>
  </si>
  <si>
    <t>JSW
TP (25%)</t>
  </si>
  <si>
    <t>AP
VD (30%)</t>
  </si>
  <si>
    <t>BO
VD (30%)</t>
  </si>
  <si>
    <t>DP
VD (30%)</t>
  </si>
  <si>
    <t>JSW
VD (30%)</t>
  </si>
  <si>
    <t>AP
SD (25%)</t>
  </si>
  <si>
    <t>BO
SD (25%)</t>
  </si>
  <si>
    <t>DP
SD (25%)</t>
  </si>
  <si>
    <t>JSW
SD (25%)</t>
  </si>
  <si>
    <t>AP
CL (25%)</t>
  </si>
  <si>
    <t>BO
CL (25%)</t>
  </si>
  <si>
    <t>DP
CL (25%)</t>
  </si>
  <si>
    <t>JSW
CL (25%)</t>
  </si>
  <si>
    <t>AP
NS (20%)</t>
  </si>
  <si>
    <t>BO
NS (20%)</t>
  </si>
  <si>
    <t>DP
NS (20%)</t>
  </si>
  <si>
    <t>JSW
NS (20%)</t>
  </si>
  <si>
    <t>AP
PT (25%)</t>
  </si>
  <si>
    <t>BO
PT (25%)</t>
  </si>
  <si>
    <t>DP
PT (25%)</t>
  </si>
  <si>
    <t>JSW
PT (25%)</t>
  </si>
  <si>
    <t>AP
BC (25%)</t>
  </si>
  <si>
    <t>BO
BC (25%)</t>
  </si>
  <si>
    <t>DP
BC (25%)</t>
  </si>
  <si>
    <t>JSW
BC (25%)</t>
  </si>
  <si>
    <t>AP
IH (25%)</t>
  </si>
  <si>
    <t>BO
IH (25%)</t>
  </si>
  <si>
    <t>DP
IH (25%)</t>
  </si>
  <si>
    <t>JSW
IH (25%)</t>
  </si>
  <si>
    <t>AP
RD (25%)</t>
  </si>
  <si>
    <t>BO
RD (25%)</t>
  </si>
  <si>
    <t>DP
RD (25%)</t>
  </si>
  <si>
    <t>JSW
RD (25%)</t>
  </si>
  <si>
    <t>AP
BViz</t>
  </si>
  <si>
    <t>BO
BViz</t>
  </si>
  <si>
    <t>DP
BViz</t>
  </si>
  <si>
    <t>JSW
BViz</t>
  </si>
  <si>
    <t>AP
DM</t>
  </si>
  <si>
    <t>BO
DM</t>
  </si>
  <si>
    <t>DP
DM</t>
  </si>
  <si>
    <t>JSW
DM</t>
  </si>
  <si>
    <t>AP
TR</t>
  </si>
  <si>
    <t>BO
TR</t>
  </si>
  <si>
    <t>DP
TR</t>
  </si>
  <si>
    <t>JSW
TR</t>
  </si>
  <si>
    <t>AP
ColC</t>
  </si>
  <si>
    <t>BO
ColC</t>
  </si>
  <si>
    <t>DP
ColC</t>
  </si>
  <si>
    <t>JSW
ColC</t>
  </si>
  <si>
    <t>AP
VA</t>
  </si>
  <si>
    <t>BO
VA</t>
  </si>
  <si>
    <t>DP
VA</t>
  </si>
  <si>
    <t>JSW
VA</t>
  </si>
  <si>
    <t>AP
PCC</t>
  </si>
  <si>
    <t>BO
PCC</t>
  </si>
  <si>
    <t>DP
PCC</t>
  </si>
  <si>
    <t>JSW
PCC</t>
  </si>
  <si>
    <t>AP
BenV</t>
  </si>
  <si>
    <t>BO
BenV</t>
  </si>
  <si>
    <t>DP
BenV</t>
  </si>
  <si>
    <t>JSW
BenV</t>
  </si>
  <si>
    <t>AP
FC</t>
  </si>
  <si>
    <t>BO
FC</t>
  </si>
  <si>
    <t>DP
FC</t>
  </si>
  <si>
    <t>JSW
FC</t>
  </si>
  <si>
    <t>AP
InfoH</t>
  </si>
  <si>
    <t>BO
InfoH</t>
  </si>
  <si>
    <t>DP
InfoH</t>
  </si>
  <si>
    <t>JSW
InfoH</t>
  </si>
  <si>
    <t>AP
Read</t>
  </si>
  <si>
    <t>BO
Read</t>
  </si>
  <si>
    <t>DP
Read</t>
  </si>
  <si>
    <t>JSW
Read</t>
  </si>
  <si>
    <t>AP
VarD</t>
  </si>
  <si>
    <t>BO
VarD</t>
  </si>
  <si>
    <t>DP
VarD</t>
  </si>
  <si>
    <t>JSW
VarD</t>
  </si>
  <si>
    <t>AP
SegD</t>
  </si>
  <si>
    <t>BO
SegD</t>
  </si>
  <si>
    <t>DP
SegD</t>
  </si>
  <si>
    <t>JSW
SegD</t>
  </si>
  <si>
    <t>AP
CCL</t>
  </si>
  <si>
    <t>BO
CCL</t>
  </si>
  <si>
    <t>DP
CCL</t>
  </si>
  <si>
    <t>JSW
CCL</t>
  </si>
  <si>
    <t>AP
NamS</t>
  </si>
  <si>
    <t>BO
NamS</t>
  </si>
  <si>
    <t>DP
NamS</t>
  </si>
  <si>
    <t>JSW
NamS</t>
  </si>
  <si>
    <t>AP
PortC</t>
  </si>
  <si>
    <t>BO
PortC</t>
  </si>
  <si>
    <t>DP
PortC</t>
  </si>
  <si>
    <t>JSW
PortC</t>
  </si>
  <si>
    <t>AP
ShV</t>
  </si>
  <si>
    <t>BO
ShV</t>
  </si>
  <si>
    <t>DP
ShV</t>
  </si>
  <si>
    <t>JSW
ShV</t>
  </si>
  <si>
    <t>AP
DistR</t>
  </si>
  <si>
    <t>BO
DistR</t>
  </si>
  <si>
    <t>DP
DistR</t>
  </si>
  <si>
    <t>JSW
DistR</t>
  </si>
  <si>
    <t>AP
DRE</t>
  </si>
  <si>
    <t>BO
DRE</t>
  </si>
  <si>
    <t>DP
DRE</t>
  </si>
  <si>
    <t>JSW
DRE</t>
  </si>
  <si>
    <t>AP
ConR</t>
  </si>
  <si>
    <t>BO
ConR</t>
  </si>
  <si>
    <t>DP
ConR</t>
  </si>
  <si>
    <t>JSW
ConR</t>
  </si>
  <si>
    <t>AP
PRS</t>
  </si>
  <si>
    <t>BO
PRS</t>
  </si>
  <si>
    <t>DP
PRS</t>
  </si>
  <si>
    <t>JSW
PRS</t>
  </si>
  <si>
    <t>AP
LuxA</t>
  </si>
  <si>
    <t>BO
LuxA</t>
  </si>
  <si>
    <t>DP
LuxA</t>
  </si>
  <si>
    <t>JSW
LuxA</t>
  </si>
  <si>
    <t>AP
TrustP</t>
  </si>
  <si>
    <t>BO
TrustP</t>
  </si>
  <si>
    <t>DP
TrustP</t>
  </si>
  <si>
    <t>JSW
TrustP</t>
  </si>
  <si>
    <t>AP
EmoA</t>
  </si>
  <si>
    <t>BO
EmoA</t>
  </si>
  <si>
    <t>DP
EmoA</t>
  </si>
  <si>
    <t>JSW
EmoA</t>
  </si>
  <si>
    <t>AP
MatP</t>
  </si>
  <si>
    <t>BO
MatP</t>
  </si>
  <si>
    <t>DP
MatP</t>
  </si>
  <si>
    <t>JSW
MatP</t>
  </si>
  <si>
    <t>AP
ModA</t>
  </si>
  <si>
    <t>BO
ModA</t>
  </si>
  <si>
    <t>DP
ModA</t>
  </si>
  <si>
    <t>JSW
ModA</t>
  </si>
  <si>
    <t>🥇 Rank 1</t>
  </si>
  <si>
    <t>🥈 Rank 2</t>
  </si>
  <si>
    <t>🥉 Rank 3</t>
  </si>
  <si>
    <t>Brand Mentioned
(MFast)</t>
  </si>
  <si>
    <t>Brand Mentioned
(MFirst)</t>
  </si>
  <si>
    <t>Brand Mentioned
(MPrem)</t>
  </si>
  <si>
    <t>Brand Mentioned
(MTrust)</t>
  </si>
  <si>
    <t>Brand Mentioned
(MEasy)</t>
  </si>
  <si>
    <t>Brand Mentioned
(MConf)</t>
  </si>
  <si>
    <t>Brand Mentioned
(MModern)</t>
  </si>
  <si>
    <t>Brand Mentioned
(MWould)</t>
  </si>
  <si>
    <t>📊  PACKAGING EFFECTIVENESS EVALUATION FRAMEWORK (PEEF) — Auto-Calculated from Data Entry</t>
  </si>
  <si>
    <t>Formula: PES = (Visibility×25%) + (Premium Feel×25%) + (SKU Clarity×25%) + (Communication×25%)  |  Scale: 0–10  |  Scores auto-pulled from DATA ENTRY sheet</t>
  </si>
  <si>
    <t>PEEF Dimension / Parameter</t>
  </si>
  <si>
    <t>Weight</t>
  </si>
  <si>
    <t>Asian Paints</t>
  </si>
  <si>
    <t>Birla Opus</t>
  </si>
  <si>
    <t>Dulux Paints</t>
  </si>
  <si>
    <t>JSW Paints</t>
  </si>
  <si>
    <t>🔵 DIMENSION 1: VISIBILITY</t>
  </si>
  <si>
    <t xml:space="preserve">  ▸ Brand Visibility (Logo Prominence)</t>
  </si>
  <si>
    <t>BV</t>
  </si>
  <si>
    <t>30%</t>
  </si>
  <si>
    <t xml:space="preserve">  ▸ Shelf Impact (Stand-out on shelf)</t>
  </si>
  <si>
    <t>SI</t>
  </si>
  <si>
    <t xml:space="preserve">  ▸ Color Contrast (Visual differentiation)</t>
  </si>
  <si>
    <t>CC</t>
  </si>
  <si>
    <t>20%</t>
  </si>
  <si>
    <t xml:space="preserve">  ▸ Distance Recognition (5–10 feet)</t>
  </si>
  <si>
    <t>DR</t>
  </si>
  <si>
    <t>★ VISIBILITY SCORE (Weighted)</t>
  </si>
  <si>
    <t>25% of PES</t>
  </si>
  <si>
    <t>🟠 DIMENSION 2: PREMIUM FEEL</t>
  </si>
  <si>
    <t xml:space="preserve">  ▸ Luxury Appeal (Aspirational look)</t>
  </si>
  <si>
    <t>LA</t>
  </si>
  <si>
    <t>25%</t>
  </si>
  <si>
    <t xml:space="preserve">  ▸ Design Sophistication (Modernity)</t>
  </si>
  <si>
    <t>DS</t>
  </si>
  <si>
    <t xml:space="preserve">  ▸ Premium Cues (Metallics, gradients, typo)</t>
  </si>
  <si>
    <t>PC</t>
  </si>
  <si>
    <t xml:space="preserve">  ▸ Trust Perception (Reliability signals)</t>
  </si>
  <si>
    <t>TP</t>
  </si>
  <si>
    <t>★ PREMIUM FEEL SCORE (Weighted)</t>
  </si>
  <si>
    <t>🟢 DIMENSION 3: SKU CLARITY</t>
  </si>
  <si>
    <t xml:space="preserve">  ▸ Variant Differentiation (SKU to SKU)</t>
  </si>
  <si>
    <t>VD</t>
  </si>
  <si>
    <t xml:space="preserve">  ▸ Segment Differentiation (Economy/Premium/Luxury)</t>
  </si>
  <si>
    <t>SD</t>
  </si>
  <si>
    <t xml:space="preserve">  ▸ Color Coding Logic (Visual navigation ease)</t>
  </si>
  <si>
    <t>CL</t>
  </si>
  <si>
    <t xml:space="preserve">  ▸ Naming Structure (Product name clarity)</t>
  </si>
  <si>
    <t>NS</t>
  </si>
  <si>
    <t>★ SKU CLARITY SCORE (Weighted)</t>
  </si>
  <si>
    <t>🔵 DIMENSION 4: COMMUNICATION EFFECTIVENESS</t>
  </si>
  <si>
    <t xml:space="preserve">  ▸ Product Type Clarity (Interior/Exterior/Primer)</t>
  </si>
  <si>
    <t>PT</t>
  </si>
  <si>
    <t xml:space="preserve">  ▸ Benefit Communication (Claims visibility)</t>
  </si>
  <si>
    <t>BC</t>
  </si>
  <si>
    <t xml:space="preserve">  ▸ Information Hierarchy (Logical flow)</t>
  </si>
  <si>
    <t>IH</t>
  </si>
  <si>
    <t xml:space="preserve">  ▸ Readability (Ease of understanding text)</t>
  </si>
  <si>
    <t>RD</t>
  </si>
  <si>
    <t>★ COMMUNICATION EFFECTIVENESS SCORE (Weighted)</t>
  </si>
  <si>
    <t>🏆  PACKAGING EFFECTIVENESS SCORE (PES)  — Max 10</t>
  </si>
  <si>
    <t>📏  PES Interpretation Scale</t>
  </si>
  <si>
    <t>9.0–10.0</t>
  </si>
  <si>
    <t>Best-in-Class Packaging</t>
  </si>
  <si>
    <t>8.0–8.9</t>
  </si>
  <si>
    <t>Strong Packaging System</t>
  </si>
  <si>
    <t>7.0–7.9</t>
  </si>
  <si>
    <t>Competitive — Needs Improvement</t>
  </si>
  <si>
    <t>6.0–6.9</t>
  </si>
  <si>
    <t>Significant Improvement Required</t>
  </si>
  <si>
    <t>Below 6.0</t>
  </si>
  <si>
    <t>Weak Packaging Performance</t>
  </si>
  <si>
    <t>🏆  BENCHMARKING FRAMEWORK — 25 Parameters × 5 Pillars × 4 Brands — Auto-Calculated</t>
  </si>
  <si>
    <t>PEI Score = Average of 5 Pillar Scores (each pillar = average of its 5 parameters)  |  All scores auto-pulled from DATA ENTRY sheet</t>
  </si>
  <si>
    <t>Pillar</t>
  </si>
  <si>
    <t>Parameter</t>
  </si>
  <si>
    <t>Business Impact</t>
  </si>
  <si>
    <t>★ VISUAL IDENTITY (Weight: 20%)</t>
  </si>
  <si>
    <t>Visual Identity</t>
  </si>
  <si>
    <t>BViz</t>
  </si>
  <si>
    <t>Brand Recall</t>
  </si>
  <si>
    <t>DM</t>
  </si>
  <si>
    <t>Modern Appeal</t>
  </si>
  <si>
    <t>TR</t>
  </si>
  <si>
    <t>Consumer Understanding</t>
  </si>
  <si>
    <t>ColC</t>
  </si>
  <si>
    <t>Brand Recognition</t>
  </si>
  <si>
    <t>VA</t>
  </si>
  <si>
    <t>Purchase Attraction</t>
  </si>
  <si>
    <t xml:space="preserve">  ★ Visual Identity PILLAR SCORE (Avg of 5 params)</t>
  </si>
  <si>
    <t>★ COMMUNICATION (Weight: 20%)</t>
  </si>
  <si>
    <t>Communication</t>
  </si>
  <si>
    <t>PCC</t>
  </si>
  <si>
    <t>Faster Decision Making</t>
  </si>
  <si>
    <t>BenV</t>
  </si>
  <si>
    <t>Claim Effectiveness</t>
  </si>
  <si>
    <t>FC</t>
  </si>
  <si>
    <t>Product Selection Ease</t>
  </si>
  <si>
    <t>InfoH</t>
  </si>
  <si>
    <t>Comprehension</t>
  </si>
  <si>
    <t>Read</t>
  </si>
  <si>
    <t xml:space="preserve">  ★ Communication PILLAR SCORE (Avg of 5 params)</t>
  </si>
  <si>
    <t>★ SKU ARCHITECTURE (Weight: 20%)</t>
  </si>
  <si>
    <t>SKU Architecture</t>
  </si>
  <si>
    <t>VarD</t>
  </si>
  <si>
    <t>Reduced Confusion</t>
  </si>
  <si>
    <t>SegD</t>
  </si>
  <si>
    <t>Portfolio Clarity</t>
  </si>
  <si>
    <t>CCL</t>
  </si>
  <si>
    <t>SKU Navigation</t>
  </si>
  <si>
    <t>NamS</t>
  </si>
  <si>
    <t>Recommendation Ease</t>
  </si>
  <si>
    <t>PortC</t>
  </si>
  <si>
    <t>Brand Consistency</t>
  </si>
  <si>
    <t xml:space="preserve">  ★ SKU Architecture PILLAR SCORE (Avg of 5 params)</t>
  </si>
  <si>
    <t>★ RETAIL &amp; TRADE (Weight: 20%)</t>
  </si>
  <si>
    <t>Retail &amp; Trade</t>
  </si>
  <si>
    <t>ShV</t>
  </si>
  <si>
    <t>Retail Impact</t>
  </si>
  <si>
    <t>DistR</t>
  </si>
  <si>
    <t>Store Visibility</t>
  </si>
  <si>
    <t>DRE</t>
  </si>
  <si>
    <t>Sales Conversion</t>
  </si>
  <si>
    <t>ConR</t>
  </si>
  <si>
    <t>Contractor Recall</t>
  </si>
  <si>
    <t>PRS</t>
  </si>
  <si>
    <t>Operational Efficiency</t>
  </si>
  <si>
    <t xml:space="preserve">  ★ Retail &amp; Trade PILLAR SCORE (Avg of 5 params)</t>
  </si>
  <si>
    <t>★ PREMIUM PERCEPTION (Weight: 20%)</t>
  </si>
  <si>
    <t>Premium Perception</t>
  </si>
  <si>
    <t>LuxA</t>
  </si>
  <si>
    <t>Premium Positioning</t>
  </si>
  <si>
    <t>TrustP</t>
  </si>
  <si>
    <t>Brand Trust</t>
  </si>
  <si>
    <t>EmoA</t>
  </si>
  <si>
    <t>Purchase Intent</t>
  </si>
  <si>
    <t>MatP</t>
  </si>
  <si>
    <t>Quality Perception</t>
  </si>
  <si>
    <t>ModA</t>
  </si>
  <si>
    <t>Premium Image</t>
  </si>
  <si>
    <t xml:space="preserve">  ★ Premium Perception PILLAR SCORE (Avg of 5 params)</t>
  </si>
  <si>
    <t>🏅  PACKAGING EFFECTIVENESS INDEX (PEI) — Avg of 5 Pillars × 20% each  — Max 10</t>
  </si>
  <si>
    <t>📈  BRAND RANKING ANALYSIS — Rank 1=5pts | Rank 2=3pts | Rank 3=1pt | Auto-aggregated</t>
  </si>
  <si>
    <t>Formula: Ranking Score = (Count of Rank-1 mentions × 5) + (Count of Rank-2 mentions × 3) + (Count of Rank-3 mentions × 1) ÷ Max possible</t>
  </si>
  <si>
    <t>Ranking Dimension</t>
  </si>
  <si>
    <t>Brand</t>
  </si>
  <si>
    <t>Rank-1
Count</t>
  </si>
  <si>
    <t>Rank-2
Count</t>
  </si>
  <si>
    <t>Rank-3
Count</t>
  </si>
  <si>
    <t>Raw Score
(5+3+1)</t>
  </si>
  <si>
    <t>Normalized
(/10)</t>
  </si>
  <si>
    <t>Rank Position</t>
  </si>
  <si>
    <t>◆  Shelf Visibility — Which brand stands out most?</t>
  </si>
  <si>
    <t>◆  Premium Feel — Which brand looks most premium?</t>
  </si>
  <si>
    <t>◆  SKU Clarity — Which brand is easiest to navigate?</t>
  </si>
  <si>
    <t>◆  Communication — Which brand communicates best?</t>
  </si>
  <si>
    <t>◆  Overall — Which brand has the best packaging overall?</t>
  </si>
  <si>
    <t>🔢  BRAND MENTION FREQUENCY CODING — Method 1: Score = (Mentions ÷ Max Mentions) × 10</t>
  </si>
  <si>
    <t>COUNTIF pulls from DATA ENTRY mention columns. Formula: Brand Score = (Brand Count ÷ Highest Count among 4 brands) × 10</t>
  </si>
  <si>
    <t>Theme / Question</t>
  </si>
  <si>
    <t>Mention Count</t>
  </si>
  <si>
    <t>Max Count (in theme)</t>
  </si>
  <si>
    <t>Frequency Score (/10)</t>
  </si>
  <si>
    <t>Rank in Theme</t>
  </si>
  <si>
    <t>◆  Fastest Moving / Most Recommended by you</t>
  </si>
  <si>
    <t>◆  First Noticed on Shelf (instinctive)</t>
  </si>
  <si>
    <t>◆  Looks Most Premium</t>
  </si>
  <si>
    <t>◆  Creates Highest Trust</t>
  </si>
  <si>
    <t>◆  Easiest to Understand</t>
  </si>
  <si>
    <t>◆  Most Confusing Packaging</t>
  </si>
  <si>
    <t>◆  Looks Most Modern</t>
  </si>
  <si>
    <t>◆  Would You Personally Recommend / Buy</t>
  </si>
  <si>
    <t>🎯  MASTER BENCHMARKING SUMMARY — Final Scores Across All Frameworks</t>
  </si>
  <si>
    <t>PES
(PEEF Score
/10)</t>
  </si>
  <si>
    <t>PEI
(Benchmarking
/10)</t>
  </si>
  <si>
    <t>Ranking
Score
(/10)</t>
  </si>
  <si>
    <t>Mention
Freq Score
(/10)</t>
  </si>
  <si>
    <t>COMPOSITE
INDEX
(/10)</t>
  </si>
  <si>
    <t>Rank
#</t>
  </si>
  <si>
    <t>Interpretation</t>
  </si>
  <si>
    <t>Respondent
Count</t>
  </si>
  <si>
    <t>📌 COMPOSITE INDEX FORMULA: (PES × 40%) + (PEI × 40%) + (Ranking Score × 10%) + (Mention Freq Score × 10%)  |  D &amp; E columns: copy average normalized scores from 📈 Ranking Analysis (col G) and 🔢 Mention Frequency (col E) sheets</t>
  </si>
  <si>
    <t>📏  INTERPRETATION: 9.0–10.0 = Best-in-Class  |  8.0–8.9 = Strong  |  7.0–7.9 = Competitive  |  6.0–6.9 = Needs Improvement  |  &lt;6.0 = Weak</t>
  </si>
  <si>
    <t>TARGET SAMPLE: Dealers/Retailers: 15–20  |  Distributors: 5–10  |  Wholesalers: 5–10  |  Contractors: 15–20  |  Consumers: 20–30  |  Architects: 5–10  |  Total: ~70–100 observers</t>
  </si>
  <si>
    <t>All scores auto-pulled from analysis sheets. This is the PPT-ready output. Respondent count shown for credibility.</t>
  </si>
  <si>
    <t>AVERAGE RANKING SCORES</t>
  </si>
  <si>
    <t>AVERAGE FREQUENCY 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</si>
</sst>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0">
    <font>
      <sz val="11"/>
      <color theme="1"/>
      <name val="Calibri"/>
      <family val="2"/>
      <charset val="1"/>
    </font>
    <font>
      <b/>
      <sz val="15"/>
      <color rgb="FFFFFFFF"/>
      <name val="Arial"/>
      <family val="2"/>
    </font>
    <font>
      <sz val="10"/>
      <color rgb="FF1F3864"/>
      <name val="Arial"/>
      <family val="2"/>
    </font>
    <font>
      <sz val="8"/>
      <color rgb="FFFFFFFF"/>
      <name val="Arial"/>
      <family val="2"/>
    </font>
    <font>
      <b/>
      <sz val="11"/>
      <color rgb="FFFFFFFF"/>
      <name val="Arial"/>
      <family val="2"/>
    </font>
    <font>
      <sz val="10"/>
      <color rgb="FF1F1F1F"/>
      <name val="Arial"/>
      <family val="2"/>
    </font>
    <font>
      <b/>
      <sz val="12"/>
      <color rgb="FFFFFFFF"/>
      <name val="Arial"/>
      <family val="2"/>
    </font>
    <font>
      <i/>
      <sz val="9"/>
      <color rgb="FF1F3864"/>
      <name val="Arial"/>
      <family val="2"/>
    </font>
    <font>
      <b/>
      <sz val="9"/>
      <color rgb="FFFFFFFF"/>
      <name val="Arial"/>
      <family val="2"/>
    </font>
    <font>
      <i/>
      <sz val="8"/>
      <color rgb="FF1F3864"/>
      <name val="Arial"/>
      <family val="2"/>
    </font>
    <font>
      <b/>
      <sz val="8"/>
      <color rgb="FF2E75B6"/>
      <name val="Arial"/>
      <family val="2"/>
    </font>
    <font>
      <b/>
      <sz val="8"/>
      <color rgb="FFC55A11"/>
      <name val="Arial"/>
      <family val="2"/>
    </font>
    <font>
      <b/>
      <sz val="8"/>
      <color rgb="FF375623"/>
      <name val="Arial"/>
      <family val="2"/>
    </font>
    <font>
      <b/>
      <sz val="8"/>
      <color rgb="FF1F6B75"/>
      <name val="Arial"/>
      <family val="2"/>
    </font>
    <font>
      <b/>
      <sz val="8"/>
      <color rgb="FF7030A0"/>
      <name val="Arial"/>
      <family val="2"/>
    </font>
    <font>
      <b/>
      <sz val="8"/>
      <color rgb="FFFFFFFF"/>
      <name val="Arial"/>
      <family val="2"/>
    </font>
    <font>
      <b/>
      <sz val="9"/>
      <color rgb="FF2E75B6"/>
      <name val="Arial"/>
      <family val="2"/>
    </font>
    <font>
      <sz val="10"/>
      <name val="Arial"/>
      <family val="2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i/>
      <sz val="9"/>
      <color rgb="FF2E75B6"/>
      <name val="Arial"/>
      <family val="2"/>
    </font>
    <font>
      <b/>
      <sz val="11"/>
      <color rgb="FF2E75B6"/>
      <name val="Arial"/>
      <family val="2"/>
    </font>
    <font>
      <b/>
      <sz val="11"/>
      <color rgb="FF375623"/>
      <name val="Arial"/>
      <family val="2"/>
    </font>
    <font>
      <b/>
      <sz val="11"/>
      <color rgb="FFC55A11"/>
      <name val="Arial"/>
      <family val="2"/>
    </font>
    <font>
      <b/>
      <sz val="11"/>
      <color rgb="FF7030A0"/>
      <name val="Arial"/>
      <family val="2"/>
    </font>
    <font>
      <b/>
      <sz val="14"/>
      <color rgb="FFFFFFFF"/>
      <name val="Arial"/>
      <family val="2"/>
    </font>
    <font>
      <sz val="10"/>
      <color rgb="FFFFFFFF"/>
      <name val="Arial"/>
      <family val="2"/>
    </font>
    <font>
      <sz val="8"/>
      <color rgb="FF1F1F1F"/>
      <name val="Arial"/>
      <family val="2"/>
    </font>
    <font>
      <i/>
      <sz val="9"/>
      <color rgb="FF1F6B75"/>
      <name val="Arial"/>
      <family val="2"/>
    </font>
    <font>
      <i/>
      <sz val="9"/>
      <color rgb="FF375623"/>
      <name val="Arial"/>
      <family val="2"/>
    </font>
    <font>
      <i/>
      <sz val="9"/>
      <color rgb="FFC55A11"/>
      <name val="Arial"/>
      <family val="2"/>
    </font>
    <font>
      <i/>
      <sz val="9"/>
      <color rgb="FF7030A0"/>
      <name val="Arial"/>
      <family val="2"/>
    </font>
    <font>
      <b/>
      <sz val="10"/>
      <color rgb="FF2E75B6"/>
      <name val="Arial"/>
      <family val="2"/>
    </font>
    <font>
      <b/>
      <sz val="11"/>
      <color rgb="FF1F1F1F"/>
      <name val="Arial"/>
      <family val="2"/>
    </font>
    <font>
      <b/>
      <sz val="11"/>
      <color rgb="FFBF8F00"/>
      <name val="Arial"/>
      <family val="2"/>
    </font>
    <font>
      <b/>
      <sz val="10"/>
      <color rgb="FF375623"/>
      <name val="Arial"/>
      <family val="2"/>
    </font>
    <font>
      <b/>
      <sz val="10"/>
      <color rgb="FFC55A11"/>
      <name val="Arial"/>
      <family val="2"/>
    </font>
    <font>
      <b/>
      <sz val="10"/>
      <color rgb="FF7030A0"/>
      <name val="Arial"/>
      <family val="2"/>
    </font>
    <font>
      <b/>
      <sz val="12"/>
      <color rgb="FF2E75B6"/>
      <name val="Arial"/>
      <family val="2"/>
    </font>
    <font>
      <i/>
      <sz val="10"/>
      <color rgb="FF1F1F1F"/>
      <name val="Arial"/>
      <family val="2"/>
    </font>
    <font>
      <b/>
      <sz val="10"/>
      <color rgb="FF1F1F1F"/>
      <name val="Arial"/>
      <family val="2"/>
    </font>
    <font>
      <b/>
      <sz val="12"/>
      <color rgb="FF375623"/>
      <name val="Arial"/>
      <family val="2"/>
    </font>
    <font>
      <b/>
      <sz val="12"/>
      <color rgb="FFC55A11"/>
      <name val="Arial"/>
      <family val="2"/>
    </font>
    <font>
      <b/>
      <sz val="12"/>
      <color rgb="FF7030A0"/>
      <name val="Arial"/>
      <family val="2"/>
    </font>
    <font>
      <sz val="9"/>
      <color rgb="FF1F3864"/>
      <name val="Arial"/>
      <family val="2"/>
    </font>
    <font>
      <sz val="11"/>
      <color rgb="FF1F3864"/>
      <name val="Arial"/>
      <family val="2"/>
    </font>
    <font>
      <sz val="9"/>
      <color rgb="FF2E75B6"/>
      <name val="Arial"/>
      <family val="2"/>
    </font>
    <font>
      <sz val="9"/>
      <color rgb="FF1F1F1F"/>
      <name val="Arial"/>
      <family val="2"/>
    </font>
    <font>
      <b/>
      <sz val="14"/>
      <color theme="1"/>
      <name val="Calibri"/>
      <family val="2"/>
    </font>
    <font>
      <b/>
      <sz val="14"/>
      <color theme="1" tint="4.9989318521683403E-2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EEAF1"/>
        <bgColor rgb="FFD6EEF2"/>
      </patternFill>
    </fill>
    <fill>
      <patternFill patternType="solid">
        <fgColor rgb="FFFFFFFF"/>
        <bgColor rgb="FFFFF2CC"/>
      </patternFill>
    </fill>
    <fill>
      <patternFill patternType="solid">
        <fgColor rgb="FF2E75B6"/>
        <bgColor rgb="FF1F6B75"/>
      </patternFill>
    </fill>
    <fill>
      <patternFill patternType="solid">
        <fgColor rgb="FF375623"/>
        <bgColor rgb="FF1F3864"/>
      </patternFill>
    </fill>
    <fill>
      <patternFill patternType="solid">
        <fgColor rgb="FF1F6B75"/>
        <bgColor rgb="FF008080"/>
      </patternFill>
    </fill>
    <fill>
      <patternFill patternType="solid">
        <fgColor rgb="FFC55A11"/>
        <bgColor rgb="FF993300"/>
      </patternFill>
    </fill>
    <fill>
      <patternFill patternType="solid">
        <fgColor rgb="FF7030A0"/>
        <bgColor rgb="FF993366"/>
      </patternFill>
    </fill>
    <fill>
      <patternFill patternType="solid">
        <fgColor rgb="FFBF8F00"/>
        <bgColor rgb="FF808000"/>
      </patternFill>
    </fill>
    <fill>
      <patternFill patternType="solid">
        <fgColor rgb="FFC00000"/>
        <bgColor rgb="FF800000"/>
      </patternFill>
    </fill>
    <fill>
      <patternFill patternType="solid">
        <fgColor rgb="FFD6DCE4"/>
        <bgColor rgb="FFDEEAF1"/>
      </patternFill>
    </fill>
    <fill>
      <patternFill patternType="solid">
        <fgColor rgb="FFBDD7EE"/>
        <bgColor rgb="FFD6DCE4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EEAF1"/>
      </patternFill>
    </fill>
    <fill>
      <patternFill patternType="solid">
        <fgColor rgb="FFD6EEF2"/>
        <bgColor rgb="FFDEEAF1"/>
      </patternFill>
    </fill>
    <fill>
      <patternFill patternType="solid">
        <fgColor rgb="FFEAD1DC"/>
        <bgColor rgb="FFD6DCE4"/>
      </patternFill>
    </fill>
    <fill>
      <patternFill patternType="solid">
        <fgColor rgb="FFFFF2CC"/>
        <bgColor rgb="FFFCE4D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medium">
        <color rgb="FFBBBBBB"/>
      </left>
      <right style="medium">
        <color rgb="FFBBBBBB"/>
      </right>
      <top style="medium">
        <color rgb="FFBBBBBB"/>
      </top>
      <bottom style="medium">
        <color rgb="FFBBBBBB"/>
      </bottom>
      <diagonal/>
    </border>
    <border>
      <left style="medium">
        <color rgb="FFBBBBBB"/>
      </left>
      <right/>
      <top style="medium">
        <color rgb="FFBBBBBB"/>
      </top>
      <bottom style="medium">
        <color rgb="FFBBBBB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7">
    <xf numFmtId="0" fontId="0" fillId="0" borderId="0" xfId="0"/>
    <xf numFmtId="0" fontId="15" fillId="11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15" fillId="5" borderId="2" xfId="0" applyFont="1" applyFill="1" applyBorder="1" applyAlignment="1">
      <alignment horizontal="center" vertical="center" wrapText="1"/>
    </xf>
    <xf numFmtId="0" fontId="15" fillId="8" borderId="2" xfId="0" applyFont="1" applyFill="1" applyBorder="1" applyAlignment="1">
      <alignment horizontal="center" vertical="center" wrapText="1"/>
    </xf>
    <xf numFmtId="0" fontId="15" fillId="6" borderId="2" xfId="0" applyFont="1" applyFill="1" applyBorder="1" applyAlignment="1">
      <alignment horizontal="center" vertical="center" wrapText="1"/>
    </xf>
    <xf numFmtId="0" fontId="15" fillId="7" borderId="2" xfId="0" applyFont="1" applyFill="1" applyBorder="1" applyAlignment="1">
      <alignment horizontal="center" vertical="center" wrapText="1"/>
    </xf>
    <xf numFmtId="0" fontId="15" fillId="9" borderId="2" xfId="0" applyFont="1" applyFill="1" applyBorder="1" applyAlignment="1">
      <alignment horizontal="center" vertical="center" wrapText="1"/>
    </xf>
    <xf numFmtId="0" fontId="15" fillId="10" borderId="2" xfId="0" applyFont="1" applyFill="1" applyBorder="1" applyAlignment="1">
      <alignment horizontal="center" vertical="center" wrapText="1"/>
    </xf>
    <xf numFmtId="0" fontId="16" fillId="12" borderId="2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left" vertical="center"/>
    </xf>
    <xf numFmtId="0" fontId="17" fillId="3" borderId="2" xfId="0" applyFont="1" applyFill="1" applyBorder="1" applyAlignment="1">
      <alignment horizontal="center" vertical="center"/>
    </xf>
    <xf numFmtId="0" fontId="17" fillId="13" borderId="2" xfId="0" applyFont="1" applyFill="1" applyBorder="1" applyAlignment="1">
      <alignment horizontal="center" vertical="center"/>
    </xf>
    <xf numFmtId="0" fontId="17" fillId="14" borderId="2" xfId="0" applyFont="1" applyFill="1" applyBorder="1" applyAlignment="1">
      <alignment horizontal="center" vertical="center"/>
    </xf>
    <xf numFmtId="0" fontId="17" fillId="15" borderId="2" xfId="0" applyFont="1" applyFill="1" applyBorder="1" applyAlignment="1">
      <alignment horizontal="center" vertical="center"/>
    </xf>
    <xf numFmtId="0" fontId="17" fillId="16" borderId="2" xfId="0" applyFont="1" applyFill="1" applyBorder="1" applyAlignment="1">
      <alignment horizontal="center" vertical="center"/>
    </xf>
    <xf numFmtId="0" fontId="17" fillId="17" borderId="2" xfId="0" applyFont="1" applyFill="1" applyBorder="1" applyAlignment="1">
      <alignment horizontal="center" vertical="center"/>
    </xf>
    <xf numFmtId="0" fontId="17" fillId="18" borderId="2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7" fillId="4" borderId="2" xfId="0" applyFont="1" applyFill="1" applyBorder="1" applyAlignment="1">
      <alignment horizontal="left" vertical="center"/>
    </xf>
    <xf numFmtId="0" fontId="17" fillId="4" borderId="2" xfId="0" applyFont="1" applyFill="1" applyBorder="1" applyAlignment="1">
      <alignment horizontal="center" vertical="center"/>
    </xf>
    <xf numFmtId="0" fontId="19" fillId="2" borderId="2" xfId="0" applyFont="1" applyFill="1" applyBorder="1" applyAlignment="1">
      <alignment horizontal="center" vertical="center" wrapText="1"/>
    </xf>
    <xf numFmtId="0" fontId="19" fillId="5" borderId="2" xfId="0" applyFont="1" applyFill="1" applyBorder="1" applyAlignment="1">
      <alignment horizontal="center" vertical="center" wrapText="1"/>
    </xf>
    <xf numFmtId="0" fontId="19" fillId="6" borderId="2" xfId="0" applyFont="1" applyFill="1" applyBorder="1" applyAlignment="1">
      <alignment horizontal="center" vertical="center" wrapText="1"/>
    </xf>
    <xf numFmtId="0" fontId="19" fillId="8" borderId="2" xfId="0" applyFont="1" applyFill="1" applyBorder="1" applyAlignment="1">
      <alignment horizontal="center" vertical="center" wrapText="1"/>
    </xf>
    <xf numFmtId="0" fontId="19" fillId="9" borderId="2" xfId="0" applyFont="1" applyFill="1" applyBorder="1" applyAlignment="1">
      <alignment horizontal="center" vertical="center" wrapText="1"/>
    </xf>
    <xf numFmtId="0" fontId="5" fillId="4" borderId="2" xfId="0" applyFont="1" applyFill="1" applyBorder="1"/>
    <xf numFmtId="0" fontId="20" fillId="4" borderId="2" xfId="0" applyFont="1" applyFill="1" applyBorder="1"/>
    <xf numFmtId="0" fontId="5" fillId="12" borderId="2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2" fillId="4" borderId="2" xfId="0" applyFont="1" applyFill="1" applyBorder="1" applyAlignment="1">
      <alignment horizontal="center" vertical="center"/>
    </xf>
    <xf numFmtId="0" fontId="23" fillId="4" borderId="2" xfId="0" applyFont="1" applyFill="1" applyBorder="1" applyAlignment="1">
      <alignment horizontal="center" vertical="center"/>
    </xf>
    <xf numFmtId="0" fontId="24" fillId="4" borderId="2" xfId="0" applyFont="1" applyFill="1" applyBorder="1" applyAlignment="1">
      <alignment horizontal="center" vertical="center"/>
    </xf>
    <xf numFmtId="0" fontId="5" fillId="3" borderId="2" xfId="0" applyFont="1" applyFill="1" applyBorder="1"/>
    <xf numFmtId="0" fontId="20" fillId="3" borderId="2" xfId="0" applyFont="1" applyFill="1" applyBorder="1"/>
    <xf numFmtId="0" fontId="21" fillId="13" borderId="2" xfId="0" applyFont="1" applyFill="1" applyBorder="1" applyAlignment="1">
      <alignment horizontal="center" vertical="center"/>
    </xf>
    <xf numFmtId="0" fontId="22" fillId="13" borderId="2" xfId="0" applyFont="1" applyFill="1" applyBorder="1" applyAlignment="1">
      <alignment horizontal="center" vertical="center"/>
    </xf>
    <xf numFmtId="0" fontId="23" fillId="13" borderId="2" xfId="0" applyFont="1" applyFill="1" applyBorder="1" applyAlignment="1">
      <alignment horizontal="center" vertical="center"/>
    </xf>
    <xf numFmtId="0" fontId="24" fillId="13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21" fillId="14" borderId="2" xfId="0" applyFont="1" applyFill="1" applyBorder="1" applyAlignment="1">
      <alignment horizontal="center" vertical="center"/>
    </xf>
    <xf numFmtId="0" fontId="22" fillId="14" borderId="2" xfId="0" applyFont="1" applyFill="1" applyBorder="1" applyAlignment="1">
      <alignment horizontal="center" vertical="center"/>
    </xf>
    <xf numFmtId="0" fontId="23" fillId="14" borderId="2" xfId="0" applyFont="1" applyFill="1" applyBorder="1" applyAlignment="1">
      <alignment horizontal="center" vertical="center"/>
    </xf>
    <xf numFmtId="0" fontId="24" fillId="14" borderId="2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21" fillId="15" borderId="2" xfId="0" applyFont="1" applyFill="1" applyBorder="1" applyAlignment="1">
      <alignment horizontal="center" vertical="center"/>
    </xf>
    <xf numFmtId="0" fontId="22" fillId="15" borderId="2" xfId="0" applyFont="1" applyFill="1" applyBorder="1" applyAlignment="1">
      <alignment horizontal="center" vertical="center"/>
    </xf>
    <xf numFmtId="0" fontId="23" fillId="15" borderId="2" xfId="0" applyFont="1" applyFill="1" applyBorder="1" applyAlignment="1">
      <alignment horizontal="center" vertical="center"/>
    </xf>
    <xf numFmtId="0" fontId="24" fillId="15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21" fillId="16" borderId="2" xfId="0" applyFont="1" applyFill="1" applyBorder="1" applyAlignment="1">
      <alignment horizontal="center" vertical="center"/>
    </xf>
    <xf numFmtId="0" fontId="22" fillId="16" borderId="2" xfId="0" applyFont="1" applyFill="1" applyBorder="1" applyAlignment="1">
      <alignment horizontal="center" vertical="center"/>
    </xf>
    <xf numFmtId="0" fontId="23" fillId="16" borderId="2" xfId="0" applyFont="1" applyFill="1" applyBorder="1" applyAlignment="1">
      <alignment horizontal="center" vertical="center"/>
    </xf>
    <xf numFmtId="0" fontId="24" fillId="16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25" fillId="5" borderId="3" xfId="0" applyFont="1" applyFill="1" applyBorder="1" applyAlignment="1">
      <alignment horizontal="center" vertical="center"/>
    </xf>
    <xf numFmtId="0" fontId="25" fillId="6" borderId="3" xfId="0" applyFont="1" applyFill="1" applyBorder="1" applyAlignment="1">
      <alignment horizontal="center" vertical="center"/>
    </xf>
    <xf numFmtId="0" fontId="25" fillId="8" borderId="3" xfId="0" applyFont="1" applyFill="1" applyBorder="1" applyAlignment="1">
      <alignment horizontal="center" vertical="center"/>
    </xf>
    <xf numFmtId="0" fontId="25" fillId="9" borderId="3" xfId="0" applyFont="1" applyFill="1" applyBorder="1" applyAlignment="1">
      <alignment horizontal="center" vertical="center"/>
    </xf>
    <xf numFmtId="0" fontId="19" fillId="6" borderId="2" xfId="0" applyFont="1" applyFill="1" applyBorder="1" applyAlignment="1">
      <alignment horizontal="center" vertical="center"/>
    </xf>
    <xf numFmtId="0" fontId="19" fillId="7" borderId="2" xfId="0" applyFont="1" applyFill="1" applyBorder="1" applyAlignment="1">
      <alignment horizontal="center" vertical="center"/>
    </xf>
    <xf numFmtId="0" fontId="19" fillId="5" borderId="2" xfId="0" applyFont="1" applyFill="1" applyBorder="1" applyAlignment="1">
      <alignment horizontal="center" vertical="center"/>
    </xf>
    <xf numFmtId="0" fontId="19" fillId="8" borderId="2" xfId="0" applyFont="1" applyFill="1" applyBorder="1" applyAlignment="1">
      <alignment horizontal="center" vertical="center"/>
    </xf>
    <xf numFmtId="0" fontId="19" fillId="11" borderId="2" xfId="0" applyFont="1" applyFill="1" applyBorder="1" applyAlignment="1">
      <alignment horizontal="center" vertical="center"/>
    </xf>
    <xf numFmtId="0" fontId="27" fillId="12" borderId="2" xfId="0" applyFont="1" applyFill="1" applyBorder="1" applyAlignment="1">
      <alignment horizontal="center" vertical="center"/>
    </xf>
    <xf numFmtId="0" fontId="5" fillId="13" borderId="2" xfId="0" applyFont="1" applyFill="1" applyBorder="1"/>
    <xf numFmtId="0" fontId="28" fillId="4" borderId="2" xfId="0" applyFont="1" applyFill="1" applyBorder="1"/>
    <xf numFmtId="0" fontId="28" fillId="16" borderId="2" xfId="0" applyFont="1" applyFill="1" applyBorder="1"/>
    <xf numFmtId="0" fontId="5" fillId="16" borderId="2" xfId="0" applyFont="1" applyFill="1" applyBorder="1"/>
    <xf numFmtId="0" fontId="29" fillId="4" borderId="2" xfId="0" applyFont="1" applyFill="1" applyBorder="1"/>
    <xf numFmtId="0" fontId="29" fillId="15" borderId="2" xfId="0" applyFont="1" applyFill="1" applyBorder="1"/>
    <xf numFmtId="0" fontId="5" fillId="15" borderId="2" xfId="0" applyFont="1" applyFill="1" applyBorder="1"/>
    <xf numFmtId="0" fontId="30" fillId="4" borderId="2" xfId="0" applyFont="1" applyFill="1" applyBorder="1"/>
    <xf numFmtId="0" fontId="30" fillId="14" borderId="2" xfId="0" applyFont="1" applyFill="1" applyBorder="1"/>
    <xf numFmtId="0" fontId="5" fillId="14" borderId="2" xfId="0" applyFont="1" applyFill="1" applyBorder="1"/>
    <xf numFmtId="0" fontId="31" fillId="4" borderId="2" xfId="0" applyFont="1" applyFill="1" applyBorder="1"/>
    <xf numFmtId="0" fontId="31" fillId="17" borderId="2" xfId="0" applyFont="1" applyFill="1" applyBorder="1"/>
    <xf numFmtId="0" fontId="5" fillId="17" borderId="2" xfId="0" applyFont="1" applyFill="1" applyBorder="1"/>
    <xf numFmtId="0" fontId="21" fillId="17" borderId="2" xfId="0" applyFont="1" applyFill="1" applyBorder="1" applyAlignment="1">
      <alignment horizontal="center" vertical="center"/>
    </xf>
    <xf numFmtId="0" fontId="22" fillId="17" borderId="2" xfId="0" applyFont="1" applyFill="1" applyBorder="1" applyAlignment="1">
      <alignment horizontal="center" vertical="center"/>
    </xf>
    <xf numFmtId="0" fontId="23" fillId="17" borderId="2" xfId="0" applyFont="1" applyFill="1" applyBorder="1" applyAlignment="1">
      <alignment horizontal="center" vertical="center"/>
    </xf>
    <xf numFmtId="0" fontId="24" fillId="17" borderId="2" xfId="0" applyFont="1" applyFill="1" applyBorder="1" applyAlignment="1">
      <alignment horizontal="center" vertical="center"/>
    </xf>
    <xf numFmtId="0" fontId="6" fillId="9" borderId="3" xfId="0" applyFont="1" applyFill="1" applyBorder="1" applyAlignment="1">
      <alignment horizontal="center" vertical="center"/>
    </xf>
    <xf numFmtId="0" fontId="32" fillId="4" borderId="2" xfId="0" applyFont="1" applyFill="1" applyBorder="1"/>
    <xf numFmtId="0" fontId="33" fillId="4" borderId="2" xfId="0" applyFont="1" applyFill="1" applyBorder="1" applyAlignment="1">
      <alignment horizontal="center" vertical="center"/>
    </xf>
    <xf numFmtId="0" fontId="34" fillId="18" borderId="2" xfId="0" applyFont="1" applyFill="1" applyBorder="1" applyAlignment="1">
      <alignment horizontal="center" vertical="center"/>
    </xf>
    <xf numFmtId="0" fontId="35" fillId="18" borderId="2" xfId="0" applyFont="1" applyFill="1" applyBorder="1"/>
    <xf numFmtId="0" fontId="33" fillId="18" borderId="2" xfId="0" applyFont="1" applyFill="1" applyBorder="1" applyAlignment="1">
      <alignment horizontal="center" vertical="center"/>
    </xf>
    <xf numFmtId="0" fontId="36" fillId="4" borderId="2" xfId="0" applyFont="1" applyFill="1" applyBorder="1"/>
    <xf numFmtId="0" fontId="37" fillId="18" borderId="2" xfId="0" applyFont="1" applyFill="1" applyBorder="1"/>
    <xf numFmtId="0" fontId="35" fillId="14" borderId="2" xfId="0" applyFont="1" applyFill="1" applyBorder="1"/>
    <xf numFmtId="0" fontId="33" fillId="14" borderId="2" xfId="0" applyFont="1" applyFill="1" applyBorder="1" applyAlignment="1">
      <alignment horizontal="center" vertical="center"/>
    </xf>
    <xf numFmtId="0" fontId="37" fillId="14" borderId="2" xfId="0" applyFont="1" applyFill="1" applyBorder="1"/>
    <xf numFmtId="0" fontId="4" fillId="2" borderId="2" xfId="0" applyFont="1" applyFill="1" applyBorder="1" applyAlignment="1">
      <alignment horizontal="center" vertical="center" wrapText="1"/>
    </xf>
    <xf numFmtId="0" fontId="19" fillId="7" borderId="2" xfId="0" applyFont="1" applyFill="1" applyBorder="1" applyAlignment="1">
      <alignment horizontal="center" vertical="center" wrapText="1"/>
    </xf>
    <xf numFmtId="0" fontId="19" fillId="10" borderId="2" xfId="0" applyFont="1" applyFill="1" applyBorder="1" applyAlignment="1">
      <alignment horizontal="center" vertical="center" wrapText="1"/>
    </xf>
    <xf numFmtId="0" fontId="19" fillId="11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/>
    </xf>
    <xf numFmtId="0" fontId="38" fillId="13" borderId="2" xfId="0" applyFont="1" applyFill="1" applyBorder="1" applyAlignment="1">
      <alignment horizontal="center" vertical="center"/>
    </xf>
    <xf numFmtId="0" fontId="39" fillId="18" borderId="2" xfId="0" applyFont="1" applyFill="1" applyBorder="1" applyAlignment="1">
      <alignment horizontal="center" vertical="center"/>
    </xf>
    <xf numFmtId="0" fontId="18" fillId="5" borderId="2" xfId="0" applyFont="1" applyFill="1" applyBorder="1" applyAlignment="1">
      <alignment horizontal="center" vertical="center"/>
    </xf>
    <xf numFmtId="0" fontId="40" fillId="13" borderId="2" xfId="0" applyFont="1" applyFill="1" applyBorder="1" applyAlignment="1">
      <alignment horizontal="center" vertical="center"/>
    </xf>
    <xf numFmtId="0" fontId="5" fillId="13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41" fillId="15" borderId="2" xfId="0" applyFont="1" applyFill="1" applyBorder="1" applyAlignment="1">
      <alignment horizontal="center" vertical="center"/>
    </xf>
    <xf numFmtId="0" fontId="18" fillId="6" borderId="2" xfId="0" applyFont="1" applyFill="1" applyBorder="1" applyAlignment="1">
      <alignment horizontal="center" vertical="center"/>
    </xf>
    <xf numFmtId="0" fontId="40" fillId="15" borderId="2" xfId="0" applyFont="1" applyFill="1" applyBorder="1" applyAlignment="1">
      <alignment horizontal="center" vertical="center"/>
    </xf>
    <xf numFmtId="0" fontId="5" fillId="15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42" fillId="14" borderId="2" xfId="0" applyFont="1" applyFill="1" applyBorder="1" applyAlignment="1">
      <alignment horizontal="center" vertical="center"/>
    </xf>
    <xf numFmtId="0" fontId="18" fillId="8" borderId="2" xfId="0" applyFont="1" applyFill="1" applyBorder="1" applyAlignment="1">
      <alignment horizontal="center" vertical="center"/>
    </xf>
    <xf numFmtId="0" fontId="40" fillId="14" borderId="2" xfId="0" applyFont="1" applyFill="1" applyBorder="1" applyAlignment="1">
      <alignment horizontal="center" vertical="center"/>
    </xf>
    <xf numFmtId="0" fontId="5" fillId="14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43" fillId="17" borderId="2" xfId="0" applyFont="1" applyFill="1" applyBorder="1" applyAlignment="1">
      <alignment horizontal="center" vertical="center"/>
    </xf>
    <xf numFmtId="0" fontId="18" fillId="9" borderId="2" xfId="0" applyFont="1" applyFill="1" applyBorder="1" applyAlignment="1">
      <alignment horizontal="center" vertical="center"/>
    </xf>
    <xf numFmtId="0" fontId="40" fillId="17" borderId="2" xfId="0" applyFont="1" applyFill="1" applyBorder="1" applyAlignment="1">
      <alignment horizontal="center" vertical="center"/>
    </xf>
    <xf numFmtId="0" fontId="5" fillId="17" borderId="2" xfId="0" applyFont="1" applyFill="1" applyBorder="1" applyAlignment="1">
      <alignment horizontal="center" vertical="center"/>
    </xf>
    <xf numFmtId="0" fontId="46" fillId="4" borderId="2" xfId="0" applyFont="1" applyFill="1" applyBorder="1"/>
    <xf numFmtId="0" fontId="46" fillId="3" borderId="2" xfId="0" applyFont="1" applyFill="1" applyBorder="1"/>
    <xf numFmtId="0" fontId="47" fillId="4" borderId="2" xfId="0" applyFont="1" applyFill="1" applyBorder="1"/>
    <xf numFmtId="0" fontId="46" fillId="13" borderId="2" xfId="0" applyFont="1" applyFill="1" applyBorder="1"/>
    <xf numFmtId="0" fontId="47" fillId="13" borderId="2" xfId="0" applyFont="1" applyFill="1" applyBorder="1"/>
    <xf numFmtId="0" fontId="0" fillId="5" borderId="2" xfId="0" applyFill="1" applyBorder="1"/>
    <xf numFmtId="0" fontId="47" fillId="16" borderId="2" xfId="0" applyFont="1" applyFill="1" applyBorder="1"/>
    <xf numFmtId="0" fontId="0" fillId="7" borderId="2" xfId="0" applyFill="1" applyBorder="1"/>
    <xf numFmtId="0" fontId="47" fillId="15" borderId="2" xfId="0" applyFont="1" applyFill="1" applyBorder="1"/>
    <xf numFmtId="0" fontId="0" fillId="6" borderId="2" xfId="0" applyFill="1" applyBorder="1"/>
    <xf numFmtId="0" fontId="47" fillId="14" borderId="2" xfId="0" applyFont="1" applyFill="1" applyBorder="1"/>
    <xf numFmtId="0" fontId="0" fillId="8" borderId="2" xfId="0" applyFill="1" applyBorder="1"/>
    <xf numFmtId="0" fontId="47" fillId="17" borderId="2" xfId="0" applyFont="1" applyFill="1" applyBorder="1"/>
    <xf numFmtId="0" fontId="0" fillId="9" borderId="2" xfId="0" applyFill="1" applyBorder="1"/>
    <xf numFmtId="0" fontId="0" fillId="2" borderId="2" xfId="0" applyFill="1" applyBorder="1"/>
    <xf numFmtId="0" fontId="0" fillId="19" borderId="5" xfId="0" applyFill="1" applyBorder="1"/>
    <xf numFmtId="0" fontId="49" fillId="20" borderId="0" xfId="0" applyFont="1" applyFill="1"/>
    <xf numFmtId="0" fontId="19" fillId="5" borderId="5" xfId="0" applyFont="1" applyFill="1" applyBorder="1" applyAlignment="1">
      <alignment horizontal="center" vertical="center" wrapText="1"/>
    </xf>
    <xf numFmtId="0" fontId="19" fillId="6" borderId="5" xfId="0" applyFont="1" applyFill="1" applyBorder="1" applyAlignment="1">
      <alignment horizontal="center" vertical="center" wrapText="1"/>
    </xf>
    <xf numFmtId="0" fontId="19" fillId="8" borderId="5" xfId="0" applyFont="1" applyFill="1" applyBorder="1" applyAlignment="1">
      <alignment horizontal="center" vertical="center" wrapText="1"/>
    </xf>
    <xf numFmtId="0" fontId="19" fillId="9" borderId="5" xfId="0" applyFont="1" applyFill="1" applyBorder="1" applyAlignment="1">
      <alignment horizontal="center" vertical="center" wrapText="1"/>
    </xf>
    <xf numFmtId="0" fontId="0" fillId="20" borderId="5" xfId="0" applyFill="1" applyBorder="1"/>
    <xf numFmtId="0" fontId="48" fillId="21" borderId="0" xfId="0" applyFont="1" applyFill="1"/>
    <xf numFmtId="0" fontId="25" fillId="2" borderId="0" xfId="0" applyFont="1" applyFill="1" applyAlignment="1">
      <alignment horizontal="center" vertical="center"/>
    </xf>
    <xf numFmtId="0" fontId="44" fillId="3" borderId="0" xfId="0" applyFont="1" applyFill="1" applyAlignment="1">
      <alignment horizontal="left" vertical="center" wrapText="1"/>
    </xf>
    <xf numFmtId="0" fontId="19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4" fillId="5" borderId="0" xfId="0" applyFont="1" applyFill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4" fillId="6" borderId="0" xfId="0" applyFont="1" applyFill="1" applyAlignment="1">
      <alignment horizontal="left" vertical="center" wrapText="1"/>
    </xf>
    <xf numFmtId="0" fontId="4" fillId="7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center" wrapText="1"/>
    </xf>
    <xf numFmtId="0" fontId="11" fillId="14" borderId="1" xfId="0" applyFont="1" applyFill="1" applyBorder="1" applyAlignment="1">
      <alignment horizontal="center" vertical="center" wrapText="1"/>
    </xf>
    <xf numFmtId="0" fontId="12" fillId="15" borderId="1" xfId="0" applyFont="1" applyFill="1" applyBorder="1" applyAlignment="1">
      <alignment horizontal="center" vertical="center" wrapText="1"/>
    </xf>
    <xf numFmtId="0" fontId="13" fillId="16" borderId="1" xfId="0" applyFont="1" applyFill="1" applyBorder="1" applyAlignment="1">
      <alignment horizontal="center" vertical="center" wrapText="1"/>
    </xf>
    <xf numFmtId="0" fontId="14" fillId="17" borderId="1" xfId="0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/>
    </xf>
    <xf numFmtId="0" fontId="45" fillId="3" borderId="0" xfId="0" applyFont="1" applyFill="1" applyAlignment="1">
      <alignment horizontal="left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26" fillId="5" borderId="1" xfId="0" applyFont="1" applyFill="1" applyBorder="1" applyAlignment="1">
      <alignment horizontal="left" vertical="center" wrapText="1"/>
    </xf>
    <xf numFmtId="0" fontId="26" fillId="8" borderId="1" xfId="0" applyFont="1" applyFill="1" applyBorder="1" applyAlignment="1">
      <alignment horizontal="left" vertical="center" wrapText="1"/>
    </xf>
    <xf numFmtId="0" fontId="26" fillId="11" borderId="1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18" fillId="2" borderId="4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26" fillId="6" borderId="1" xfId="0" applyFont="1" applyFill="1" applyBorder="1" applyAlignment="1">
      <alignment horizontal="left" vertical="center" wrapText="1"/>
    </xf>
    <xf numFmtId="0" fontId="26" fillId="7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47" fillId="18" borderId="2" xfId="0" applyFont="1" applyFill="1" applyBorder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B75"/>
      <rgbColor rgb="FFBBBBBB"/>
      <rgbColor rgb="FF808080"/>
      <rgbColor rgb="FF9999FF"/>
      <rgbColor rgb="FF7030A0"/>
      <rgbColor rgb="FFFFF2CC"/>
      <rgbColor rgb="FFD6EE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E2EFDA"/>
      <rgbColor rgb="FFFCE4D6"/>
      <rgbColor rgb="FFD6DCE4"/>
      <rgbColor rgb="FFFF99CC"/>
      <rgbColor rgb="FFCC99FF"/>
      <rgbColor rgb="FFEAD1DC"/>
      <rgbColor rgb="FF2E75B6"/>
      <rgbColor rgb="FF33CCCC"/>
      <rgbColor rgb="FF99CC00"/>
      <rgbColor rgb="FFFFCC00"/>
      <rgbColor rgb="FFBF8F00"/>
      <rgbColor rgb="FFC55A11"/>
      <rgbColor rgb="FF666699"/>
      <rgbColor rgb="FF969696"/>
      <rgbColor rgb="FF1F3864"/>
      <rgbColor rgb="FF339966"/>
      <rgbColor rgb="FF003300"/>
      <rgbColor rgb="FF375623"/>
      <rgbColor rgb="FF993300"/>
      <rgbColor rgb="FF993366"/>
      <rgbColor rgb="FF333399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"/>
  <sheetViews>
    <sheetView showGridLines="0" zoomScale="114" zoomScaleNormal="100" workbookViewId="0">
      <selection activeCell="B50" sqref="B50"/>
    </sheetView>
  </sheetViews>
  <sheetFormatPr defaultColWidth="8.6328125" defaultRowHeight="14.5"/>
  <cols>
    <col min="1" max="1" width="3" customWidth="1"/>
    <col min="2" max="2" width="100" customWidth="1"/>
    <col min="3" max="11" width="2" customWidth="1"/>
  </cols>
  <sheetData>
    <row r="1" spans="1:11" ht="33.75" customHeight="1">
      <c r="A1" s="150" t="s">
        <v>0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</row>
    <row r="2" spans="1:11" ht="15" customHeight="1">
      <c r="A2" s="151" t="s">
        <v>1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</row>
    <row r="3" spans="1:11">
      <c r="A3" s="152"/>
      <c r="B3" s="152"/>
      <c r="C3" s="152"/>
      <c r="D3" s="152"/>
      <c r="E3" s="152"/>
      <c r="F3" s="152"/>
      <c r="G3" s="152"/>
      <c r="H3" s="152"/>
      <c r="I3" s="152"/>
      <c r="J3" s="152"/>
      <c r="K3" s="152"/>
    </row>
    <row r="4" spans="1:11" ht="21.75" customHeight="1">
      <c r="A4" s="153" t="s">
        <v>2</v>
      </c>
      <c r="B4" s="153"/>
      <c r="C4" s="153"/>
      <c r="D4" s="153"/>
      <c r="E4" s="153"/>
      <c r="F4" s="153"/>
      <c r="G4" s="153"/>
      <c r="H4" s="153"/>
      <c r="I4" s="153"/>
      <c r="J4" s="153"/>
      <c r="K4" s="153"/>
    </row>
    <row r="5" spans="1:11" ht="19.5" customHeight="1">
      <c r="B5" s="154" t="s">
        <v>3</v>
      </c>
      <c r="C5" s="154"/>
      <c r="D5" s="154"/>
      <c r="E5" s="154"/>
      <c r="F5" s="154"/>
      <c r="G5" s="154"/>
      <c r="H5" s="154"/>
      <c r="I5" s="154"/>
      <c r="J5" s="154"/>
      <c r="K5" s="154"/>
    </row>
    <row r="6" spans="1:11" ht="19.5" customHeight="1">
      <c r="B6" s="154" t="s">
        <v>4</v>
      </c>
      <c r="C6" s="154"/>
      <c r="D6" s="154"/>
      <c r="E6" s="154"/>
      <c r="F6" s="154"/>
      <c r="G6" s="154"/>
      <c r="H6" s="154"/>
      <c r="I6" s="154"/>
      <c r="J6" s="154"/>
      <c r="K6" s="154"/>
    </row>
    <row r="7" spans="1:11" ht="19.5" customHeight="1">
      <c r="B7" s="154" t="s">
        <v>5</v>
      </c>
      <c r="C7" s="154"/>
      <c r="D7" s="154"/>
      <c r="E7" s="154"/>
      <c r="F7" s="154"/>
      <c r="G7" s="154"/>
      <c r="H7" s="154"/>
      <c r="I7" s="154"/>
      <c r="J7" s="154"/>
      <c r="K7" s="154"/>
    </row>
    <row r="9" spans="1:11" ht="21.75" customHeight="1">
      <c r="A9" s="153" t="s">
        <v>6</v>
      </c>
      <c r="B9" s="153"/>
      <c r="C9" s="153"/>
      <c r="D9" s="153"/>
      <c r="E9" s="153"/>
      <c r="F9" s="153"/>
      <c r="G9" s="153"/>
      <c r="H9" s="153"/>
      <c r="I9" s="153"/>
      <c r="J9" s="153"/>
      <c r="K9" s="153"/>
    </row>
    <row r="10" spans="1:11" ht="19.5" customHeight="1">
      <c r="B10" s="154" t="s">
        <v>7</v>
      </c>
      <c r="C10" s="154"/>
      <c r="D10" s="154"/>
      <c r="E10" s="154"/>
      <c r="F10" s="154"/>
      <c r="G10" s="154"/>
      <c r="H10" s="154"/>
      <c r="I10" s="154"/>
      <c r="J10" s="154"/>
      <c r="K10" s="154"/>
    </row>
    <row r="11" spans="1:11" ht="19.5" customHeight="1">
      <c r="B11" s="154" t="s">
        <v>8</v>
      </c>
      <c r="C11" s="154"/>
      <c r="D11" s="154"/>
      <c r="E11" s="154"/>
      <c r="F11" s="154"/>
      <c r="G11" s="154"/>
      <c r="H11" s="154"/>
      <c r="I11" s="154"/>
      <c r="J11" s="154"/>
      <c r="K11" s="154"/>
    </row>
    <row r="12" spans="1:11" ht="19.5" customHeight="1">
      <c r="B12" s="154" t="s">
        <v>9</v>
      </c>
      <c r="C12" s="154"/>
      <c r="D12" s="154"/>
      <c r="E12" s="154"/>
      <c r="F12" s="154"/>
      <c r="G12" s="154"/>
      <c r="H12" s="154"/>
      <c r="I12" s="154"/>
      <c r="J12" s="154"/>
      <c r="K12" s="154"/>
    </row>
    <row r="13" spans="1:11" ht="19.5" customHeight="1">
      <c r="B13" s="154" t="s">
        <v>10</v>
      </c>
      <c r="C13" s="154"/>
      <c r="D13" s="154"/>
      <c r="E13" s="154"/>
      <c r="F13" s="154"/>
      <c r="G13" s="154"/>
      <c r="H13" s="154"/>
      <c r="I13" s="154"/>
      <c r="J13" s="154"/>
      <c r="K13" s="154"/>
    </row>
    <row r="14" spans="1:11" ht="19.5" customHeight="1">
      <c r="B14" s="154" t="s">
        <v>11</v>
      </c>
      <c r="C14" s="154"/>
      <c r="D14" s="154"/>
      <c r="E14" s="154"/>
      <c r="F14" s="154"/>
      <c r="G14" s="154"/>
      <c r="H14" s="154"/>
      <c r="I14" s="154"/>
      <c r="J14" s="154"/>
      <c r="K14" s="154"/>
    </row>
    <row r="15" spans="1:11" ht="19.5" customHeight="1">
      <c r="B15" s="154" t="s">
        <v>12</v>
      </c>
      <c r="C15" s="154"/>
      <c r="D15" s="154"/>
      <c r="E15" s="154"/>
      <c r="F15" s="154"/>
      <c r="G15" s="154"/>
      <c r="H15" s="154"/>
      <c r="I15" s="154"/>
      <c r="J15" s="154"/>
      <c r="K15" s="154"/>
    </row>
    <row r="17" spans="1:11" ht="21.75" customHeight="1">
      <c r="A17" s="153" t="s">
        <v>13</v>
      </c>
      <c r="B17" s="153"/>
      <c r="C17" s="153"/>
      <c r="D17" s="153"/>
      <c r="E17" s="153"/>
      <c r="F17" s="153"/>
      <c r="G17" s="153"/>
      <c r="H17" s="153"/>
      <c r="I17" s="153"/>
      <c r="J17" s="153"/>
      <c r="K17" s="153"/>
    </row>
    <row r="18" spans="1:11" ht="19.5" customHeight="1">
      <c r="B18" s="154" t="s">
        <v>14</v>
      </c>
      <c r="C18" s="154"/>
      <c r="D18" s="154"/>
      <c r="E18" s="154"/>
      <c r="F18" s="154"/>
      <c r="G18" s="154"/>
      <c r="H18" s="154"/>
      <c r="I18" s="154"/>
      <c r="J18" s="154"/>
      <c r="K18" s="154"/>
    </row>
    <row r="19" spans="1:11" ht="19.5" customHeight="1">
      <c r="B19" s="154" t="s">
        <v>15</v>
      </c>
      <c r="C19" s="154"/>
      <c r="D19" s="154"/>
      <c r="E19" s="154"/>
      <c r="F19" s="154"/>
      <c r="G19" s="154"/>
      <c r="H19" s="154"/>
      <c r="I19" s="154"/>
      <c r="J19" s="154"/>
      <c r="K19" s="154"/>
    </row>
    <row r="20" spans="1:11" ht="19.5" customHeight="1">
      <c r="B20" s="154" t="s">
        <v>16</v>
      </c>
      <c r="C20" s="154"/>
      <c r="D20" s="154"/>
      <c r="E20" s="154"/>
      <c r="F20" s="154"/>
      <c r="G20" s="154"/>
      <c r="H20" s="154"/>
      <c r="I20" s="154"/>
      <c r="J20" s="154"/>
      <c r="K20" s="154"/>
    </row>
    <row r="21" spans="1:11" ht="19.5" customHeight="1">
      <c r="B21" s="154" t="s">
        <v>17</v>
      </c>
      <c r="C21" s="154"/>
      <c r="D21" s="154"/>
      <c r="E21" s="154"/>
      <c r="F21" s="154"/>
      <c r="G21" s="154"/>
      <c r="H21" s="154"/>
      <c r="I21" s="154"/>
      <c r="J21" s="154"/>
      <c r="K21" s="154"/>
    </row>
    <row r="22" spans="1:11" ht="19.5" customHeight="1">
      <c r="B22" s="154" t="s">
        <v>18</v>
      </c>
      <c r="C22" s="154"/>
      <c r="D22" s="154"/>
      <c r="E22" s="154"/>
      <c r="F22" s="154"/>
      <c r="G22" s="154"/>
      <c r="H22" s="154"/>
      <c r="I22" s="154"/>
      <c r="J22" s="154"/>
      <c r="K22" s="154"/>
    </row>
    <row r="23" spans="1:11" ht="19.5" customHeight="1">
      <c r="B23" s="154" t="s">
        <v>19</v>
      </c>
      <c r="C23" s="154"/>
      <c r="D23" s="154"/>
      <c r="E23" s="154"/>
      <c r="F23" s="154"/>
      <c r="G23" s="154"/>
      <c r="H23" s="154"/>
      <c r="I23" s="154"/>
      <c r="J23" s="154"/>
      <c r="K23" s="154"/>
    </row>
    <row r="24" spans="1:11" ht="19.5" customHeight="1">
      <c r="B24" s="154" t="s">
        <v>20</v>
      </c>
      <c r="C24" s="154"/>
      <c r="D24" s="154"/>
      <c r="E24" s="154"/>
      <c r="F24" s="154"/>
      <c r="G24" s="154"/>
      <c r="H24" s="154"/>
      <c r="I24" s="154"/>
      <c r="J24" s="154"/>
      <c r="K24" s="154"/>
    </row>
    <row r="26" spans="1:11" ht="21.75" customHeight="1">
      <c r="A26" s="155" t="s">
        <v>21</v>
      </c>
      <c r="B26" s="155"/>
      <c r="C26" s="155"/>
      <c r="D26" s="155"/>
      <c r="E26" s="155"/>
      <c r="F26" s="155"/>
      <c r="G26" s="155"/>
      <c r="H26" s="155"/>
      <c r="I26" s="155"/>
      <c r="J26" s="155"/>
      <c r="K26" s="155"/>
    </row>
    <row r="27" spans="1:11" ht="19.5" customHeight="1">
      <c r="B27" s="154" t="s">
        <v>22</v>
      </c>
      <c r="C27" s="154"/>
      <c r="D27" s="154"/>
      <c r="E27" s="154"/>
      <c r="F27" s="154"/>
      <c r="G27" s="154"/>
      <c r="H27" s="154"/>
      <c r="I27" s="154"/>
      <c r="J27" s="154"/>
      <c r="K27" s="154"/>
    </row>
    <row r="28" spans="1:11" ht="19.5" customHeight="1">
      <c r="B28" s="154" t="s">
        <v>23</v>
      </c>
      <c r="C28" s="154"/>
      <c r="D28" s="154"/>
      <c r="E28" s="154"/>
      <c r="F28" s="154"/>
      <c r="G28" s="154"/>
      <c r="H28" s="154"/>
      <c r="I28" s="154"/>
      <c r="J28" s="154"/>
      <c r="K28" s="154"/>
    </row>
    <row r="29" spans="1:11" ht="19.5" customHeight="1">
      <c r="B29" s="154" t="s">
        <v>24</v>
      </c>
      <c r="C29" s="154"/>
      <c r="D29" s="154"/>
      <c r="E29" s="154"/>
      <c r="F29" s="154"/>
      <c r="G29" s="154"/>
      <c r="H29" s="154"/>
      <c r="I29" s="154"/>
      <c r="J29" s="154"/>
      <c r="K29" s="154"/>
    </row>
    <row r="30" spans="1:11" ht="19.5" customHeight="1">
      <c r="B30" s="154" t="s">
        <v>25</v>
      </c>
      <c r="C30" s="154"/>
      <c r="D30" s="154"/>
      <c r="E30" s="154"/>
      <c r="F30" s="154"/>
      <c r="G30" s="154"/>
      <c r="H30" s="154"/>
      <c r="I30" s="154"/>
      <c r="J30" s="154"/>
      <c r="K30" s="154"/>
    </row>
    <row r="31" spans="1:11" ht="19.5" customHeight="1">
      <c r="B31" s="154" t="s">
        <v>26</v>
      </c>
      <c r="C31" s="154"/>
      <c r="D31" s="154"/>
      <c r="E31" s="154"/>
      <c r="F31" s="154"/>
      <c r="G31" s="154"/>
      <c r="H31" s="154"/>
      <c r="I31" s="154"/>
      <c r="J31" s="154"/>
      <c r="K31" s="154"/>
    </row>
    <row r="32" spans="1:11" ht="19.5" customHeight="1">
      <c r="B32" s="154" t="s">
        <v>27</v>
      </c>
      <c r="C32" s="154"/>
      <c r="D32" s="154"/>
      <c r="E32" s="154"/>
      <c r="F32" s="154"/>
      <c r="G32" s="154"/>
      <c r="H32" s="154"/>
      <c r="I32" s="154"/>
      <c r="J32" s="154"/>
      <c r="K32" s="154"/>
    </row>
    <row r="33" spans="1:11" ht="19.5" customHeight="1">
      <c r="B33" s="154" t="s">
        <v>28</v>
      </c>
      <c r="C33" s="154"/>
      <c r="D33" s="154"/>
      <c r="E33" s="154"/>
      <c r="F33" s="154"/>
      <c r="G33" s="154"/>
      <c r="H33" s="154"/>
      <c r="I33" s="154"/>
      <c r="J33" s="154"/>
      <c r="K33" s="154"/>
    </row>
    <row r="34" spans="1:11" ht="19.5" customHeight="1">
      <c r="B34" s="154" t="s">
        <v>29</v>
      </c>
      <c r="C34" s="154"/>
      <c r="D34" s="154"/>
      <c r="E34" s="154"/>
      <c r="F34" s="154"/>
      <c r="G34" s="154"/>
      <c r="H34" s="154"/>
      <c r="I34" s="154"/>
      <c r="J34" s="154"/>
      <c r="K34" s="154"/>
    </row>
    <row r="35" spans="1:11" ht="19.5" customHeight="1">
      <c r="B35" s="154" t="s">
        <v>30</v>
      </c>
      <c r="C35" s="154"/>
      <c r="D35" s="154"/>
      <c r="E35" s="154"/>
      <c r="F35" s="154"/>
      <c r="G35" s="154"/>
      <c r="H35" s="154"/>
      <c r="I35" s="154"/>
      <c r="J35" s="154"/>
      <c r="K35" s="154"/>
    </row>
    <row r="36" spans="1:11" ht="19.5" customHeight="1">
      <c r="B36" s="154" t="s">
        <v>31</v>
      </c>
      <c r="C36" s="154"/>
      <c r="D36" s="154"/>
      <c r="E36" s="154"/>
      <c r="F36" s="154"/>
      <c r="G36" s="154"/>
      <c r="H36" s="154"/>
      <c r="I36" s="154"/>
      <c r="J36" s="154"/>
      <c r="K36" s="154"/>
    </row>
    <row r="38" spans="1:11" ht="21.75" customHeight="1">
      <c r="A38" s="156" t="s">
        <v>32</v>
      </c>
      <c r="B38" s="156"/>
      <c r="C38" s="156"/>
      <c r="D38" s="156"/>
      <c r="E38" s="156"/>
      <c r="F38" s="156"/>
      <c r="G38" s="156"/>
      <c r="H38" s="156"/>
      <c r="I38" s="156"/>
      <c r="J38" s="156"/>
      <c r="K38" s="156"/>
    </row>
    <row r="39" spans="1:11" ht="19.5" customHeight="1">
      <c r="B39" s="154" t="s">
        <v>33</v>
      </c>
      <c r="C39" s="154"/>
      <c r="D39" s="154"/>
      <c r="E39" s="154"/>
      <c r="F39" s="154"/>
      <c r="G39" s="154"/>
      <c r="H39" s="154"/>
      <c r="I39" s="154"/>
      <c r="J39" s="154"/>
      <c r="K39" s="154"/>
    </row>
    <row r="40" spans="1:11" ht="19.5" customHeight="1">
      <c r="B40" s="154" t="s">
        <v>34</v>
      </c>
      <c r="C40" s="154"/>
      <c r="D40" s="154"/>
      <c r="E40" s="154"/>
      <c r="F40" s="154"/>
      <c r="G40" s="154"/>
      <c r="H40" s="154"/>
      <c r="I40" s="154"/>
      <c r="J40" s="154"/>
      <c r="K40" s="154"/>
    </row>
    <row r="41" spans="1:11" ht="19.5" customHeight="1">
      <c r="B41" s="154" t="s">
        <v>35</v>
      </c>
      <c r="C41" s="154"/>
      <c r="D41" s="154"/>
      <c r="E41" s="154"/>
      <c r="F41" s="154"/>
      <c r="G41" s="154"/>
      <c r="H41" s="154"/>
      <c r="I41" s="154"/>
      <c r="J41" s="154"/>
      <c r="K41" s="154"/>
    </row>
    <row r="42" spans="1:11" ht="19.5" customHeight="1">
      <c r="B42" s="154" t="s">
        <v>36</v>
      </c>
      <c r="C42" s="154"/>
      <c r="D42" s="154"/>
      <c r="E42" s="154"/>
      <c r="F42" s="154"/>
      <c r="G42" s="154"/>
      <c r="H42" s="154"/>
      <c r="I42" s="154"/>
      <c r="J42" s="154"/>
      <c r="K42" s="154"/>
    </row>
    <row r="43" spans="1:11" ht="19.5" customHeight="1">
      <c r="B43" s="154" t="s">
        <v>37</v>
      </c>
      <c r="C43" s="154"/>
      <c r="D43" s="154"/>
      <c r="E43" s="154"/>
      <c r="F43" s="154"/>
      <c r="G43" s="154"/>
      <c r="H43" s="154"/>
      <c r="I43" s="154"/>
      <c r="J43" s="154"/>
      <c r="K43" s="154"/>
    </row>
    <row r="44" spans="1:11" ht="19.5" customHeight="1">
      <c r="B44" s="154" t="s">
        <v>38</v>
      </c>
      <c r="C44" s="154"/>
      <c r="D44" s="154"/>
      <c r="E44" s="154"/>
      <c r="F44" s="154"/>
      <c r="G44" s="154"/>
      <c r="H44" s="154"/>
      <c r="I44" s="154"/>
      <c r="J44" s="154"/>
      <c r="K44" s="154"/>
    </row>
    <row r="45" spans="1:11" ht="19.5" customHeight="1">
      <c r="B45" s="154" t="s">
        <v>39</v>
      </c>
      <c r="C45" s="154"/>
      <c r="D45" s="154"/>
      <c r="E45" s="154"/>
      <c r="F45" s="154"/>
      <c r="G45" s="154"/>
      <c r="H45" s="154"/>
      <c r="I45" s="154"/>
      <c r="J45" s="154"/>
      <c r="K45" s="154"/>
    </row>
  </sheetData>
  <mergeCells count="41">
    <mergeCell ref="B45:K45"/>
    <mergeCell ref="B40:K40"/>
    <mergeCell ref="B41:K41"/>
    <mergeCell ref="B42:K42"/>
    <mergeCell ref="B43:K43"/>
    <mergeCell ref="B44:K44"/>
    <mergeCell ref="B34:K34"/>
    <mergeCell ref="B35:K35"/>
    <mergeCell ref="B36:K36"/>
    <mergeCell ref="A38:K38"/>
    <mergeCell ref="B39:K39"/>
    <mergeCell ref="B29:K29"/>
    <mergeCell ref="B30:K30"/>
    <mergeCell ref="B31:K31"/>
    <mergeCell ref="B32:K32"/>
    <mergeCell ref="B33:K33"/>
    <mergeCell ref="B23:K23"/>
    <mergeCell ref="B24:K24"/>
    <mergeCell ref="A26:K26"/>
    <mergeCell ref="B27:K27"/>
    <mergeCell ref="B28:K28"/>
    <mergeCell ref="B18:K18"/>
    <mergeCell ref="B19:K19"/>
    <mergeCell ref="B20:K20"/>
    <mergeCell ref="B21:K21"/>
    <mergeCell ref="B22:K22"/>
    <mergeCell ref="B12:K12"/>
    <mergeCell ref="B13:K13"/>
    <mergeCell ref="B14:K14"/>
    <mergeCell ref="B15:K15"/>
    <mergeCell ref="A17:K17"/>
    <mergeCell ref="B6:K6"/>
    <mergeCell ref="B7:K7"/>
    <mergeCell ref="A9:K9"/>
    <mergeCell ref="B10:K10"/>
    <mergeCell ref="B11:K11"/>
    <mergeCell ref="A1:K1"/>
    <mergeCell ref="A2:K2"/>
    <mergeCell ref="A3:K3"/>
    <mergeCell ref="A4:K4"/>
    <mergeCell ref="B5:K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K205"/>
  <sheetViews>
    <sheetView showGridLines="0" zoomScale="59" zoomScaleNormal="66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DR6" sqref="DR6"/>
    </sheetView>
  </sheetViews>
  <sheetFormatPr defaultColWidth="8.6328125" defaultRowHeight="14.5"/>
  <cols>
    <col min="1" max="1" width="9" customWidth="1"/>
    <col min="2" max="2" width="22" customWidth="1"/>
    <col min="3" max="3" width="13" customWidth="1"/>
    <col min="4" max="4" width="16" customWidth="1"/>
    <col min="5" max="5" width="20" customWidth="1"/>
    <col min="6" max="6" width="10" customWidth="1"/>
    <col min="7" max="170" width="7" customWidth="1"/>
    <col min="171" max="185" width="14" customWidth="1"/>
    <col min="186" max="193" width="18" customWidth="1"/>
  </cols>
  <sheetData>
    <row r="1" spans="1:193" ht="27.75" customHeight="1">
      <c r="A1" s="157" t="s">
        <v>40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  <c r="W1" s="157"/>
      <c r="X1" s="157"/>
      <c r="Y1" s="157"/>
      <c r="Z1" s="157"/>
      <c r="AA1" s="157"/>
      <c r="AB1" s="157"/>
      <c r="AC1" s="157"/>
      <c r="AD1" s="157"/>
      <c r="AE1" s="157"/>
      <c r="AF1" s="157"/>
      <c r="AG1" s="157"/>
      <c r="AH1" s="157"/>
      <c r="AI1" s="157"/>
      <c r="AJ1" s="157"/>
      <c r="AK1" s="157"/>
      <c r="AL1" s="157"/>
      <c r="AM1" s="157"/>
      <c r="AN1" s="157"/>
      <c r="AO1" s="157"/>
      <c r="AP1" s="157"/>
      <c r="AQ1" s="157"/>
      <c r="AR1" s="157"/>
      <c r="AS1" s="157"/>
      <c r="AT1" s="157"/>
      <c r="AU1" s="157"/>
      <c r="AV1" s="157"/>
      <c r="AW1" s="157"/>
      <c r="AX1" s="157"/>
      <c r="AY1" s="157"/>
      <c r="AZ1" s="157"/>
      <c r="BA1" s="157"/>
      <c r="BB1" s="157"/>
      <c r="BC1" s="157"/>
      <c r="BD1" s="157"/>
      <c r="BE1" s="157"/>
      <c r="BF1" s="157"/>
      <c r="BG1" s="157"/>
      <c r="BH1" s="157"/>
      <c r="BI1" s="157"/>
      <c r="BJ1" s="157"/>
      <c r="BK1" s="157"/>
      <c r="BL1" s="157"/>
      <c r="BM1" s="157"/>
      <c r="BN1" s="157"/>
      <c r="BO1" s="157"/>
      <c r="BP1" s="157"/>
      <c r="BQ1" s="157"/>
      <c r="BR1" s="157"/>
      <c r="BS1" s="157"/>
      <c r="BT1" s="157"/>
      <c r="BU1" s="157"/>
      <c r="BV1" s="157"/>
      <c r="BW1" s="157"/>
      <c r="BX1" s="157"/>
      <c r="BY1" s="157"/>
      <c r="BZ1" s="157"/>
      <c r="CA1" s="157"/>
      <c r="CB1" s="157"/>
      <c r="CC1" s="157"/>
      <c r="CD1" s="157"/>
      <c r="CE1" s="157"/>
      <c r="CF1" s="157"/>
      <c r="CG1" s="157"/>
      <c r="CH1" s="157"/>
      <c r="CI1" s="157"/>
      <c r="CJ1" s="157"/>
      <c r="CK1" s="157"/>
      <c r="CL1" s="157"/>
      <c r="CM1" s="157"/>
      <c r="CN1" s="157"/>
      <c r="CO1" s="157"/>
      <c r="CP1" s="157"/>
      <c r="CQ1" s="157"/>
      <c r="CR1" s="157"/>
      <c r="CS1" s="157"/>
      <c r="CT1" s="157"/>
      <c r="CU1" s="157"/>
      <c r="CV1" s="157"/>
      <c r="CW1" s="157"/>
      <c r="CX1" s="157"/>
      <c r="CY1" s="157"/>
      <c r="CZ1" s="157"/>
      <c r="DA1" s="157"/>
      <c r="DB1" s="157"/>
      <c r="DC1" s="157"/>
      <c r="DD1" s="157"/>
      <c r="DE1" s="157"/>
      <c r="DF1" s="157"/>
      <c r="DG1" s="157"/>
      <c r="DH1" s="157"/>
      <c r="DI1" s="157"/>
      <c r="DJ1" s="157"/>
      <c r="DK1" s="157"/>
      <c r="DL1" s="157"/>
      <c r="DM1" s="157"/>
      <c r="DN1" s="157"/>
      <c r="DO1" s="157"/>
      <c r="DP1" s="157"/>
      <c r="DQ1" s="157"/>
      <c r="DR1" s="157"/>
      <c r="DS1" s="157"/>
      <c r="DT1" s="157"/>
      <c r="DU1" s="157"/>
      <c r="DV1" s="157"/>
      <c r="DW1" s="157"/>
      <c r="DX1" s="157"/>
      <c r="DY1" s="157"/>
      <c r="DZ1" s="157"/>
      <c r="EA1" s="157"/>
      <c r="EB1" s="157"/>
      <c r="EC1" s="157"/>
      <c r="ED1" s="157"/>
      <c r="EE1" s="157"/>
      <c r="EF1" s="157"/>
      <c r="EG1" s="157"/>
      <c r="EH1" s="157"/>
      <c r="EI1" s="157"/>
      <c r="EJ1" s="157"/>
      <c r="EK1" s="157"/>
      <c r="EL1" s="157"/>
      <c r="EM1" s="157"/>
      <c r="EN1" s="157"/>
      <c r="EO1" s="157"/>
      <c r="EP1" s="157"/>
      <c r="EQ1" s="157"/>
      <c r="ER1" s="157"/>
      <c r="ES1" s="157"/>
      <c r="ET1" s="157"/>
      <c r="EU1" s="157"/>
      <c r="EV1" s="157"/>
      <c r="EW1" s="157"/>
      <c r="EX1" s="157"/>
      <c r="EY1" s="157"/>
      <c r="EZ1" s="157"/>
      <c r="FA1" s="157"/>
      <c r="FB1" s="157"/>
      <c r="FC1" s="157"/>
      <c r="FD1" s="157"/>
      <c r="FE1" s="157"/>
      <c r="FF1" s="157"/>
      <c r="FG1" s="157"/>
      <c r="FH1" s="157"/>
      <c r="FI1" s="157"/>
      <c r="FJ1" s="157"/>
      <c r="FK1" s="157"/>
      <c r="FL1" s="157"/>
      <c r="FM1" s="157"/>
      <c r="FN1" s="157"/>
      <c r="FO1" s="157"/>
      <c r="FP1" s="157"/>
      <c r="FQ1" s="157"/>
      <c r="FR1" s="157"/>
      <c r="FS1" s="157"/>
      <c r="FT1" s="157"/>
      <c r="FU1" s="157"/>
      <c r="FV1" s="157"/>
      <c r="FW1" s="157"/>
      <c r="FX1" s="157"/>
      <c r="FY1" s="157"/>
      <c r="FZ1" s="157"/>
      <c r="GA1" s="157"/>
      <c r="GB1" s="157"/>
      <c r="GC1" s="157"/>
      <c r="GD1" s="157"/>
      <c r="GE1" s="157"/>
      <c r="GF1" s="157"/>
      <c r="GG1" s="157"/>
      <c r="GH1" s="157"/>
      <c r="GI1" s="157"/>
      <c r="GJ1" s="157"/>
      <c r="GK1" s="157"/>
    </row>
    <row r="2" spans="1:193" ht="15.75" customHeight="1">
      <c r="A2" s="158" t="s">
        <v>41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  <c r="Y2" s="158"/>
      <c r="Z2" s="158"/>
      <c r="AA2" s="158"/>
      <c r="AB2" s="158"/>
      <c r="AC2" s="158"/>
      <c r="AD2" s="158"/>
      <c r="AE2" s="158"/>
      <c r="AF2" s="158"/>
      <c r="AG2" s="158"/>
      <c r="AH2" s="158"/>
      <c r="AI2" s="158"/>
      <c r="AJ2" s="158"/>
      <c r="AK2" s="158"/>
      <c r="AL2" s="158"/>
      <c r="AM2" s="158"/>
      <c r="AN2" s="158"/>
      <c r="AO2" s="158"/>
      <c r="AP2" s="158"/>
      <c r="AQ2" s="158"/>
      <c r="AR2" s="158"/>
      <c r="AS2" s="158"/>
      <c r="AT2" s="158"/>
      <c r="AU2" s="158"/>
      <c r="AV2" s="158"/>
      <c r="AW2" s="158"/>
      <c r="AX2" s="158"/>
      <c r="AY2" s="158"/>
      <c r="AZ2" s="158"/>
      <c r="BA2" s="158"/>
      <c r="BB2" s="158"/>
      <c r="BC2" s="158"/>
      <c r="BD2" s="158"/>
      <c r="BE2" s="158"/>
      <c r="BF2" s="158"/>
      <c r="BG2" s="158"/>
      <c r="BH2" s="158"/>
      <c r="BI2" s="158"/>
      <c r="BJ2" s="158"/>
      <c r="BK2" s="158"/>
      <c r="BL2" s="158"/>
      <c r="BM2" s="158"/>
      <c r="BN2" s="158"/>
      <c r="BO2" s="158"/>
      <c r="BP2" s="158"/>
      <c r="BQ2" s="158"/>
      <c r="BR2" s="158"/>
      <c r="BS2" s="158"/>
      <c r="BT2" s="158"/>
      <c r="BU2" s="158"/>
      <c r="BV2" s="158"/>
      <c r="BW2" s="158"/>
      <c r="BX2" s="158"/>
      <c r="BY2" s="158"/>
      <c r="BZ2" s="158"/>
      <c r="CA2" s="158"/>
      <c r="CB2" s="158"/>
      <c r="CC2" s="158"/>
      <c r="CD2" s="158"/>
      <c r="CE2" s="158"/>
      <c r="CF2" s="158"/>
      <c r="CG2" s="158"/>
      <c r="CH2" s="158"/>
      <c r="CI2" s="158"/>
      <c r="CJ2" s="158"/>
      <c r="CK2" s="158"/>
      <c r="CL2" s="158"/>
      <c r="CM2" s="158"/>
      <c r="CN2" s="158"/>
      <c r="CO2" s="158"/>
      <c r="CP2" s="158"/>
      <c r="CQ2" s="158"/>
      <c r="CR2" s="158"/>
      <c r="CS2" s="158"/>
      <c r="CT2" s="158"/>
      <c r="CU2" s="158"/>
      <c r="CV2" s="158"/>
      <c r="CW2" s="158"/>
      <c r="CX2" s="158"/>
      <c r="CY2" s="158"/>
      <c r="CZ2" s="158"/>
      <c r="DA2" s="158"/>
      <c r="DB2" s="158"/>
      <c r="DC2" s="158"/>
      <c r="DD2" s="158"/>
      <c r="DE2" s="158"/>
      <c r="DF2" s="158"/>
      <c r="DG2" s="158"/>
      <c r="DH2" s="158"/>
      <c r="DI2" s="158"/>
      <c r="DJ2" s="158"/>
      <c r="DK2" s="158"/>
      <c r="DL2" s="158"/>
      <c r="DM2" s="158"/>
      <c r="DN2" s="158"/>
      <c r="DO2" s="158"/>
      <c r="DP2" s="158"/>
      <c r="DQ2" s="158"/>
      <c r="DR2" s="158"/>
      <c r="DS2" s="158"/>
      <c r="DT2" s="158"/>
      <c r="DU2" s="158"/>
      <c r="DV2" s="158"/>
      <c r="DW2" s="158"/>
      <c r="DX2" s="158"/>
      <c r="DY2" s="158"/>
      <c r="DZ2" s="158"/>
      <c r="EA2" s="158"/>
      <c r="EB2" s="158"/>
      <c r="EC2" s="158"/>
      <c r="ED2" s="158"/>
      <c r="EE2" s="158"/>
      <c r="EF2" s="158"/>
      <c r="EG2" s="158"/>
      <c r="EH2" s="158"/>
      <c r="EI2" s="158"/>
      <c r="EJ2" s="158"/>
      <c r="EK2" s="158"/>
      <c r="EL2" s="158"/>
      <c r="EM2" s="158"/>
      <c r="EN2" s="158"/>
      <c r="EO2" s="158"/>
      <c r="EP2" s="158"/>
      <c r="EQ2" s="158"/>
      <c r="ER2" s="158"/>
      <c r="ES2" s="158"/>
      <c r="ET2" s="158"/>
      <c r="EU2" s="158"/>
      <c r="EV2" s="158"/>
      <c r="EW2" s="158"/>
      <c r="EX2" s="158"/>
      <c r="EY2" s="158"/>
      <c r="EZ2" s="158"/>
      <c r="FA2" s="158"/>
      <c r="FB2" s="158"/>
      <c r="FC2" s="158"/>
      <c r="FD2" s="158"/>
      <c r="FE2" s="158"/>
      <c r="FF2" s="158"/>
      <c r="FG2" s="158"/>
      <c r="FH2" s="158"/>
      <c r="FI2" s="158"/>
      <c r="FJ2" s="158"/>
      <c r="FK2" s="158"/>
      <c r="FL2" s="158"/>
      <c r="FM2" s="158"/>
      <c r="FN2" s="158"/>
      <c r="FO2" s="158"/>
      <c r="FP2" s="158"/>
      <c r="FQ2" s="158"/>
      <c r="FR2" s="158"/>
      <c r="FS2" s="158"/>
      <c r="FT2" s="158"/>
      <c r="FU2" s="158"/>
      <c r="FV2" s="158"/>
      <c r="FW2" s="158"/>
      <c r="FX2" s="158"/>
      <c r="FY2" s="158"/>
      <c r="FZ2" s="158"/>
      <c r="GA2" s="158"/>
      <c r="GB2" s="158"/>
      <c r="GC2" s="158"/>
      <c r="GD2" s="158"/>
      <c r="GE2" s="158"/>
      <c r="GF2" s="158"/>
      <c r="GG2" s="158"/>
      <c r="GH2" s="158"/>
      <c r="GI2" s="158"/>
      <c r="GJ2" s="158"/>
      <c r="GK2" s="158"/>
    </row>
    <row r="3" spans="1:193" ht="18" customHeight="1">
      <c r="A3" s="159" t="s">
        <v>42</v>
      </c>
      <c r="B3" s="159"/>
      <c r="C3" s="159"/>
      <c r="D3" s="159"/>
      <c r="E3" s="159"/>
      <c r="F3" s="159"/>
      <c r="G3" s="160" t="s">
        <v>43</v>
      </c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1" t="s">
        <v>44</v>
      </c>
      <c r="X3" s="161"/>
      <c r="Y3" s="161"/>
      <c r="Z3" s="161"/>
      <c r="AA3" s="161"/>
      <c r="AB3" s="161"/>
      <c r="AC3" s="161"/>
      <c r="AD3" s="161"/>
      <c r="AE3" s="161"/>
      <c r="AF3" s="161"/>
      <c r="AG3" s="161"/>
      <c r="AH3" s="161"/>
      <c r="AI3" s="161"/>
      <c r="AJ3" s="161"/>
      <c r="AK3" s="161"/>
      <c r="AL3" s="161"/>
      <c r="AM3" s="162" t="s">
        <v>45</v>
      </c>
      <c r="AN3" s="162"/>
      <c r="AO3" s="162"/>
      <c r="AP3" s="162"/>
      <c r="AQ3" s="162"/>
      <c r="AR3" s="162"/>
      <c r="AS3" s="162"/>
      <c r="AT3" s="162"/>
      <c r="AU3" s="162"/>
      <c r="AV3" s="162"/>
      <c r="AW3" s="162"/>
      <c r="AX3" s="162"/>
      <c r="AY3" s="162"/>
      <c r="AZ3" s="162"/>
      <c r="BA3" s="162"/>
      <c r="BB3" s="162"/>
      <c r="BC3" s="163" t="s">
        <v>46</v>
      </c>
      <c r="BD3" s="163"/>
      <c r="BE3" s="163"/>
      <c r="BF3" s="163"/>
      <c r="BG3" s="163"/>
      <c r="BH3" s="163"/>
      <c r="BI3" s="163"/>
      <c r="BJ3" s="163"/>
      <c r="BK3" s="163"/>
      <c r="BL3" s="163"/>
      <c r="BM3" s="163"/>
      <c r="BN3" s="163"/>
      <c r="BO3" s="163"/>
      <c r="BP3" s="163"/>
      <c r="BQ3" s="163"/>
      <c r="BR3" s="163"/>
      <c r="BS3" s="160" t="s">
        <v>47</v>
      </c>
      <c r="BT3" s="160"/>
      <c r="BU3" s="160"/>
      <c r="BV3" s="160"/>
      <c r="BW3" s="160"/>
      <c r="BX3" s="160"/>
      <c r="BY3" s="160"/>
      <c r="BZ3" s="160"/>
      <c r="CA3" s="160"/>
      <c r="CB3" s="160"/>
      <c r="CC3" s="160"/>
      <c r="CD3" s="160"/>
      <c r="CE3" s="160"/>
      <c r="CF3" s="160"/>
      <c r="CG3" s="160"/>
      <c r="CH3" s="160"/>
      <c r="CI3" s="160"/>
      <c r="CJ3" s="160"/>
      <c r="CK3" s="160"/>
      <c r="CL3" s="160"/>
      <c r="CM3" s="163" t="s">
        <v>48</v>
      </c>
      <c r="CN3" s="163"/>
      <c r="CO3" s="163"/>
      <c r="CP3" s="163"/>
      <c r="CQ3" s="163"/>
      <c r="CR3" s="163"/>
      <c r="CS3" s="163"/>
      <c r="CT3" s="163"/>
      <c r="CU3" s="163"/>
      <c r="CV3" s="163"/>
      <c r="CW3" s="163"/>
      <c r="CX3" s="163"/>
      <c r="CY3" s="163"/>
      <c r="CZ3" s="163"/>
      <c r="DA3" s="163"/>
      <c r="DB3" s="163"/>
      <c r="DC3" s="163"/>
      <c r="DD3" s="163"/>
      <c r="DE3" s="163"/>
      <c r="DF3" s="163"/>
      <c r="DG3" s="162" t="s">
        <v>49</v>
      </c>
      <c r="DH3" s="162"/>
      <c r="DI3" s="162"/>
      <c r="DJ3" s="162"/>
      <c r="DK3" s="162"/>
      <c r="DL3" s="162"/>
      <c r="DM3" s="162"/>
      <c r="DN3" s="162"/>
      <c r="DO3" s="162"/>
      <c r="DP3" s="162"/>
      <c r="DQ3" s="162"/>
      <c r="DR3" s="162"/>
      <c r="DS3" s="162"/>
      <c r="DT3" s="162"/>
      <c r="DU3" s="162"/>
      <c r="DV3" s="162"/>
      <c r="DW3" s="162"/>
      <c r="DX3" s="162"/>
      <c r="DY3" s="162"/>
      <c r="DZ3" s="162"/>
      <c r="EA3" s="161" t="s">
        <v>50</v>
      </c>
      <c r="EB3" s="161"/>
      <c r="EC3" s="161"/>
      <c r="ED3" s="161"/>
      <c r="EE3" s="161"/>
      <c r="EF3" s="161"/>
      <c r="EG3" s="161"/>
      <c r="EH3" s="161"/>
      <c r="EI3" s="161"/>
      <c r="EJ3" s="161"/>
      <c r="EK3" s="161"/>
      <c r="EL3" s="161"/>
      <c r="EM3" s="161"/>
      <c r="EN3" s="161"/>
      <c r="EO3" s="161"/>
      <c r="EP3" s="161"/>
      <c r="EQ3" s="161"/>
      <c r="ER3" s="161"/>
      <c r="ES3" s="161"/>
      <c r="ET3" s="161"/>
      <c r="EU3" s="164" t="s">
        <v>51</v>
      </c>
      <c r="EV3" s="164"/>
      <c r="EW3" s="164"/>
      <c r="EX3" s="164"/>
      <c r="EY3" s="164"/>
      <c r="EZ3" s="164"/>
      <c r="FA3" s="164"/>
      <c r="FB3" s="164"/>
      <c r="FC3" s="164"/>
      <c r="FD3" s="164"/>
      <c r="FE3" s="164"/>
      <c r="FF3" s="164"/>
      <c r="FG3" s="164"/>
      <c r="FH3" s="164"/>
      <c r="FI3" s="164"/>
      <c r="FJ3" s="164"/>
      <c r="FK3" s="164"/>
      <c r="FL3" s="164"/>
      <c r="FM3" s="164"/>
      <c r="FN3" s="164"/>
      <c r="FO3" s="165" t="s">
        <v>52</v>
      </c>
      <c r="FP3" s="165"/>
      <c r="FQ3" s="165"/>
      <c r="FR3" s="165"/>
      <c r="FS3" s="165"/>
      <c r="FT3" s="165"/>
      <c r="FU3" s="165"/>
      <c r="FV3" s="165"/>
      <c r="FW3" s="165"/>
      <c r="FX3" s="165"/>
      <c r="FY3" s="165"/>
      <c r="FZ3" s="165"/>
      <c r="GA3" s="165"/>
      <c r="GB3" s="165"/>
      <c r="GC3" s="165"/>
      <c r="GD3" s="166" t="s">
        <v>53</v>
      </c>
      <c r="GE3" s="166"/>
      <c r="GF3" s="166"/>
      <c r="GG3" s="166"/>
      <c r="GH3" s="166"/>
      <c r="GI3" s="166"/>
      <c r="GJ3" s="166"/>
      <c r="GK3" s="166"/>
    </row>
    <row r="4" spans="1:193" ht="26.5" customHeight="1">
      <c r="A4" s="167" t="s">
        <v>54</v>
      </c>
      <c r="B4" s="167"/>
      <c r="C4" s="167"/>
      <c r="D4" s="167"/>
      <c r="E4" s="167"/>
      <c r="F4" s="167"/>
      <c r="G4" s="168" t="s">
        <v>55</v>
      </c>
      <c r="H4" s="168"/>
      <c r="I4" s="168"/>
      <c r="J4" s="168"/>
      <c r="K4" s="168" t="s">
        <v>56</v>
      </c>
      <c r="L4" s="168"/>
      <c r="M4" s="168"/>
      <c r="N4" s="168"/>
      <c r="O4" s="168" t="s">
        <v>57</v>
      </c>
      <c r="P4" s="168"/>
      <c r="Q4" s="168"/>
      <c r="R4" s="168"/>
      <c r="S4" s="168" t="s">
        <v>58</v>
      </c>
      <c r="T4" s="168"/>
      <c r="U4" s="168"/>
      <c r="V4" s="168"/>
      <c r="W4" s="169" t="s">
        <v>59</v>
      </c>
      <c r="X4" s="169"/>
      <c r="Y4" s="169"/>
      <c r="Z4" s="169"/>
      <c r="AA4" s="169" t="s">
        <v>60</v>
      </c>
      <c r="AB4" s="169"/>
      <c r="AC4" s="169"/>
      <c r="AD4" s="169"/>
      <c r="AE4" s="169" t="s">
        <v>61</v>
      </c>
      <c r="AF4" s="169"/>
      <c r="AG4" s="169"/>
      <c r="AH4" s="169"/>
      <c r="AI4" s="169" t="s">
        <v>62</v>
      </c>
      <c r="AJ4" s="169"/>
      <c r="AK4" s="169"/>
      <c r="AL4" s="169"/>
      <c r="AM4" s="170" t="s">
        <v>63</v>
      </c>
      <c r="AN4" s="170"/>
      <c r="AO4" s="170"/>
      <c r="AP4" s="170"/>
      <c r="AQ4" s="170" t="s">
        <v>64</v>
      </c>
      <c r="AR4" s="170"/>
      <c r="AS4" s="170"/>
      <c r="AT4" s="170"/>
      <c r="AU4" s="170" t="s">
        <v>65</v>
      </c>
      <c r="AV4" s="170"/>
      <c r="AW4" s="170"/>
      <c r="AX4" s="170"/>
      <c r="AY4" s="170" t="s">
        <v>66</v>
      </c>
      <c r="AZ4" s="170"/>
      <c r="BA4" s="170"/>
      <c r="BB4" s="170"/>
      <c r="BC4" s="171" t="s">
        <v>67</v>
      </c>
      <c r="BD4" s="171"/>
      <c r="BE4" s="171"/>
      <c r="BF4" s="171"/>
      <c r="BG4" s="171" t="s">
        <v>68</v>
      </c>
      <c r="BH4" s="171"/>
      <c r="BI4" s="171"/>
      <c r="BJ4" s="171"/>
      <c r="BK4" s="171" t="s">
        <v>69</v>
      </c>
      <c r="BL4" s="171"/>
      <c r="BM4" s="171"/>
      <c r="BN4" s="171"/>
      <c r="BO4" s="171" t="s">
        <v>70</v>
      </c>
      <c r="BP4" s="171"/>
      <c r="BQ4" s="171"/>
      <c r="BR4" s="171"/>
      <c r="BS4" s="168" t="s">
        <v>71</v>
      </c>
      <c r="BT4" s="168"/>
      <c r="BU4" s="168"/>
      <c r="BV4" s="168"/>
      <c r="BW4" s="168" t="s">
        <v>72</v>
      </c>
      <c r="BX4" s="168"/>
      <c r="BY4" s="168"/>
      <c r="BZ4" s="168"/>
      <c r="CA4" s="168" t="s">
        <v>73</v>
      </c>
      <c r="CB4" s="168"/>
      <c r="CC4" s="168"/>
      <c r="CD4" s="168"/>
      <c r="CE4" s="168" t="s">
        <v>74</v>
      </c>
      <c r="CF4" s="168"/>
      <c r="CG4" s="168"/>
      <c r="CH4" s="168"/>
      <c r="CI4" s="168" t="s">
        <v>75</v>
      </c>
      <c r="CJ4" s="168"/>
      <c r="CK4" s="168"/>
      <c r="CL4" s="168"/>
      <c r="CM4" s="171" t="s">
        <v>76</v>
      </c>
      <c r="CN4" s="171"/>
      <c r="CO4" s="171"/>
      <c r="CP4" s="171"/>
      <c r="CQ4" s="171" t="s">
        <v>77</v>
      </c>
      <c r="CR4" s="171"/>
      <c r="CS4" s="171"/>
      <c r="CT4" s="171"/>
      <c r="CU4" s="171" t="s">
        <v>78</v>
      </c>
      <c r="CV4" s="171"/>
      <c r="CW4" s="171"/>
      <c r="CX4" s="171"/>
      <c r="CY4" s="171" t="s">
        <v>79</v>
      </c>
      <c r="CZ4" s="171"/>
      <c r="DA4" s="171"/>
      <c r="DB4" s="171"/>
      <c r="DC4" s="171" t="s">
        <v>80</v>
      </c>
      <c r="DD4" s="171"/>
      <c r="DE4" s="171"/>
      <c r="DF4" s="171"/>
      <c r="DG4" s="170" t="s">
        <v>81</v>
      </c>
      <c r="DH4" s="170"/>
      <c r="DI4" s="170"/>
      <c r="DJ4" s="170"/>
      <c r="DK4" s="170" t="s">
        <v>82</v>
      </c>
      <c r="DL4" s="170"/>
      <c r="DM4" s="170"/>
      <c r="DN4" s="170"/>
      <c r="DO4" s="170" t="s">
        <v>83</v>
      </c>
      <c r="DP4" s="170"/>
      <c r="DQ4" s="170"/>
      <c r="DR4" s="170"/>
      <c r="DS4" s="170" t="s">
        <v>84</v>
      </c>
      <c r="DT4" s="170"/>
      <c r="DU4" s="170"/>
      <c r="DV4" s="170"/>
      <c r="DW4" s="170" t="s">
        <v>85</v>
      </c>
      <c r="DX4" s="170"/>
      <c r="DY4" s="170"/>
      <c r="DZ4" s="170"/>
      <c r="EA4" s="169" t="s">
        <v>86</v>
      </c>
      <c r="EB4" s="169"/>
      <c r="EC4" s="169"/>
      <c r="ED4" s="169"/>
      <c r="EE4" s="169" t="s">
        <v>87</v>
      </c>
      <c r="EF4" s="169"/>
      <c r="EG4" s="169"/>
      <c r="EH4" s="169"/>
      <c r="EI4" s="169" t="s">
        <v>88</v>
      </c>
      <c r="EJ4" s="169"/>
      <c r="EK4" s="169"/>
      <c r="EL4" s="169"/>
      <c r="EM4" s="169" t="s">
        <v>89</v>
      </c>
      <c r="EN4" s="169"/>
      <c r="EO4" s="169"/>
      <c r="EP4" s="169"/>
      <c r="EQ4" s="169" t="s">
        <v>90</v>
      </c>
      <c r="ER4" s="169"/>
      <c r="ES4" s="169"/>
      <c r="ET4" s="169"/>
      <c r="EU4" s="172" t="s">
        <v>91</v>
      </c>
      <c r="EV4" s="172"/>
      <c r="EW4" s="172"/>
      <c r="EX4" s="172"/>
      <c r="EY4" s="172" t="s">
        <v>92</v>
      </c>
      <c r="EZ4" s="172"/>
      <c r="FA4" s="172"/>
      <c r="FB4" s="172"/>
      <c r="FC4" s="172" t="s">
        <v>93</v>
      </c>
      <c r="FD4" s="172"/>
      <c r="FE4" s="172"/>
      <c r="FF4" s="172"/>
      <c r="FG4" s="172" t="s">
        <v>94</v>
      </c>
      <c r="FH4" s="172"/>
      <c r="FI4" s="172"/>
      <c r="FJ4" s="172"/>
      <c r="FK4" s="172" t="s">
        <v>95</v>
      </c>
      <c r="FL4" s="172"/>
      <c r="FM4" s="172"/>
      <c r="FN4" s="172"/>
      <c r="FO4" s="173" t="s">
        <v>96</v>
      </c>
      <c r="FP4" s="173"/>
      <c r="FQ4" s="173"/>
      <c r="FR4" s="173" t="s">
        <v>97</v>
      </c>
      <c r="FS4" s="173"/>
      <c r="FT4" s="173"/>
      <c r="FU4" s="173" t="s">
        <v>98</v>
      </c>
      <c r="FV4" s="173"/>
      <c r="FW4" s="173"/>
      <c r="FX4" s="173" t="s">
        <v>99</v>
      </c>
      <c r="FY4" s="173"/>
      <c r="FZ4" s="173"/>
      <c r="GA4" s="173" t="s">
        <v>100</v>
      </c>
      <c r="GB4" s="173"/>
      <c r="GC4" s="173"/>
      <c r="GD4" s="1" t="s">
        <v>101</v>
      </c>
      <c r="GE4" s="1" t="s">
        <v>102</v>
      </c>
      <c r="GF4" s="1" t="s">
        <v>103</v>
      </c>
      <c r="GG4" s="1" t="s">
        <v>104</v>
      </c>
      <c r="GH4" s="1" t="s">
        <v>105</v>
      </c>
      <c r="GI4" s="1" t="s">
        <v>106</v>
      </c>
      <c r="GJ4" s="1" t="s">
        <v>107</v>
      </c>
      <c r="GK4" s="1" t="s">
        <v>108</v>
      </c>
    </row>
    <row r="5" spans="1:193" ht="42" customHeight="1">
      <c r="A5" s="2" t="s">
        <v>109</v>
      </c>
      <c r="B5" s="2" t="s">
        <v>110</v>
      </c>
      <c r="C5" s="2" t="s">
        <v>111</v>
      </c>
      <c r="D5" s="2" t="s">
        <v>112</v>
      </c>
      <c r="E5" s="2" t="s">
        <v>113</v>
      </c>
      <c r="F5" s="2" t="s">
        <v>114</v>
      </c>
      <c r="G5" s="3" t="s">
        <v>115</v>
      </c>
      <c r="H5" s="3" t="s">
        <v>116</v>
      </c>
      <c r="I5" s="3" t="s">
        <v>117</v>
      </c>
      <c r="J5" s="3" t="s">
        <v>118</v>
      </c>
      <c r="K5" s="3" t="s">
        <v>119</v>
      </c>
      <c r="L5" s="3" t="s">
        <v>120</v>
      </c>
      <c r="M5" s="3" t="s">
        <v>121</v>
      </c>
      <c r="N5" s="3" t="s">
        <v>122</v>
      </c>
      <c r="O5" s="3" t="s">
        <v>123</v>
      </c>
      <c r="P5" s="3" t="s">
        <v>124</v>
      </c>
      <c r="Q5" s="3" t="s">
        <v>125</v>
      </c>
      <c r="R5" s="3" t="s">
        <v>126</v>
      </c>
      <c r="S5" s="3" t="s">
        <v>127</v>
      </c>
      <c r="T5" s="3" t="s">
        <v>128</v>
      </c>
      <c r="U5" s="3" t="s">
        <v>129</v>
      </c>
      <c r="V5" s="3" t="s">
        <v>130</v>
      </c>
      <c r="W5" s="4" t="s">
        <v>131</v>
      </c>
      <c r="X5" s="4" t="s">
        <v>132</v>
      </c>
      <c r="Y5" s="4" t="s">
        <v>133</v>
      </c>
      <c r="Z5" s="4" t="s">
        <v>134</v>
      </c>
      <c r="AA5" s="4" t="s">
        <v>135</v>
      </c>
      <c r="AB5" s="4" t="s">
        <v>136</v>
      </c>
      <c r="AC5" s="4" t="s">
        <v>137</v>
      </c>
      <c r="AD5" s="4" t="s">
        <v>138</v>
      </c>
      <c r="AE5" s="4" t="s">
        <v>139</v>
      </c>
      <c r="AF5" s="4" t="s">
        <v>140</v>
      </c>
      <c r="AG5" s="4" t="s">
        <v>141</v>
      </c>
      <c r="AH5" s="4" t="s">
        <v>142</v>
      </c>
      <c r="AI5" s="4" t="s">
        <v>143</v>
      </c>
      <c r="AJ5" s="4" t="s">
        <v>144</v>
      </c>
      <c r="AK5" s="4" t="s">
        <v>145</v>
      </c>
      <c r="AL5" s="4" t="s">
        <v>146</v>
      </c>
      <c r="AM5" s="5" t="s">
        <v>147</v>
      </c>
      <c r="AN5" s="5" t="s">
        <v>148</v>
      </c>
      <c r="AO5" s="5" t="s">
        <v>149</v>
      </c>
      <c r="AP5" s="5" t="s">
        <v>150</v>
      </c>
      <c r="AQ5" s="5" t="s">
        <v>151</v>
      </c>
      <c r="AR5" s="5" t="s">
        <v>152</v>
      </c>
      <c r="AS5" s="5" t="s">
        <v>153</v>
      </c>
      <c r="AT5" s="5" t="s">
        <v>154</v>
      </c>
      <c r="AU5" s="5" t="s">
        <v>155</v>
      </c>
      <c r="AV5" s="5" t="s">
        <v>156</v>
      </c>
      <c r="AW5" s="5" t="s">
        <v>157</v>
      </c>
      <c r="AX5" s="5" t="s">
        <v>158</v>
      </c>
      <c r="AY5" s="5" t="s">
        <v>159</v>
      </c>
      <c r="AZ5" s="5" t="s">
        <v>160</v>
      </c>
      <c r="BA5" s="5" t="s">
        <v>161</v>
      </c>
      <c r="BB5" s="5" t="s">
        <v>162</v>
      </c>
      <c r="BC5" s="6" t="s">
        <v>163</v>
      </c>
      <c r="BD5" s="6" t="s">
        <v>164</v>
      </c>
      <c r="BE5" s="6" t="s">
        <v>165</v>
      </c>
      <c r="BF5" s="6" t="s">
        <v>166</v>
      </c>
      <c r="BG5" s="6" t="s">
        <v>167</v>
      </c>
      <c r="BH5" s="6" t="s">
        <v>168</v>
      </c>
      <c r="BI5" s="6" t="s">
        <v>169</v>
      </c>
      <c r="BJ5" s="6" t="s">
        <v>170</v>
      </c>
      <c r="BK5" s="6" t="s">
        <v>171</v>
      </c>
      <c r="BL5" s="6" t="s">
        <v>172</v>
      </c>
      <c r="BM5" s="6" t="s">
        <v>173</v>
      </c>
      <c r="BN5" s="6" t="s">
        <v>174</v>
      </c>
      <c r="BO5" s="6" t="s">
        <v>175</v>
      </c>
      <c r="BP5" s="6" t="s">
        <v>176</v>
      </c>
      <c r="BQ5" s="6" t="s">
        <v>177</v>
      </c>
      <c r="BR5" s="6" t="s">
        <v>178</v>
      </c>
      <c r="BS5" s="3" t="s">
        <v>179</v>
      </c>
      <c r="BT5" s="3" t="s">
        <v>180</v>
      </c>
      <c r="BU5" s="3" t="s">
        <v>181</v>
      </c>
      <c r="BV5" s="3" t="s">
        <v>182</v>
      </c>
      <c r="BW5" s="3" t="s">
        <v>183</v>
      </c>
      <c r="BX5" s="3" t="s">
        <v>184</v>
      </c>
      <c r="BY5" s="3" t="s">
        <v>185</v>
      </c>
      <c r="BZ5" s="3" t="s">
        <v>186</v>
      </c>
      <c r="CA5" s="3" t="s">
        <v>187</v>
      </c>
      <c r="CB5" s="3" t="s">
        <v>188</v>
      </c>
      <c r="CC5" s="3" t="s">
        <v>189</v>
      </c>
      <c r="CD5" s="3" t="s">
        <v>190</v>
      </c>
      <c r="CE5" s="3" t="s">
        <v>191</v>
      </c>
      <c r="CF5" s="3" t="s">
        <v>192</v>
      </c>
      <c r="CG5" s="3" t="s">
        <v>193</v>
      </c>
      <c r="CH5" s="3" t="s">
        <v>194</v>
      </c>
      <c r="CI5" s="3" t="s">
        <v>195</v>
      </c>
      <c r="CJ5" s="3" t="s">
        <v>196</v>
      </c>
      <c r="CK5" s="3" t="s">
        <v>197</v>
      </c>
      <c r="CL5" s="3" t="s">
        <v>198</v>
      </c>
      <c r="CM5" s="6" t="s">
        <v>199</v>
      </c>
      <c r="CN5" s="6" t="s">
        <v>200</v>
      </c>
      <c r="CO5" s="6" t="s">
        <v>201</v>
      </c>
      <c r="CP5" s="6" t="s">
        <v>202</v>
      </c>
      <c r="CQ5" s="6" t="s">
        <v>203</v>
      </c>
      <c r="CR5" s="6" t="s">
        <v>204</v>
      </c>
      <c r="CS5" s="6" t="s">
        <v>205</v>
      </c>
      <c r="CT5" s="6" t="s">
        <v>206</v>
      </c>
      <c r="CU5" s="6" t="s">
        <v>207</v>
      </c>
      <c r="CV5" s="6" t="s">
        <v>208</v>
      </c>
      <c r="CW5" s="6" t="s">
        <v>209</v>
      </c>
      <c r="CX5" s="6" t="s">
        <v>210</v>
      </c>
      <c r="CY5" s="6" t="s">
        <v>211</v>
      </c>
      <c r="CZ5" s="6" t="s">
        <v>212</v>
      </c>
      <c r="DA5" s="6" t="s">
        <v>213</v>
      </c>
      <c r="DB5" s="6" t="s">
        <v>214</v>
      </c>
      <c r="DC5" s="6" t="s">
        <v>215</v>
      </c>
      <c r="DD5" s="6" t="s">
        <v>216</v>
      </c>
      <c r="DE5" s="6" t="s">
        <v>217</v>
      </c>
      <c r="DF5" s="6" t="s">
        <v>218</v>
      </c>
      <c r="DG5" s="5" t="s">
        <v>219</v>
      </c>
      <c r="DH5" s="5" t="s">
        <v>220</v>
      </c>
      <c r="DI5" s="5" t="s">
        <v>221</v>
      </c>
      <c r="DJ5" s="5" t="s">
        <v>222</v>
      </c>
      <c r="DK5" s="5" t="s">
        <v>223</v>
      </c>
      <c r="DL5" s="5" t="s">
        <v>224</v>
      </c>
      <c r="DM5" s="5" t="s">
        <v>225</v>
      </c>
      <c r="DN5" s="5" t="s">
        <v>226</v>
      </c>
      <c r="DO5" s="5" t="s">
        <v>227</v>
      </c>
      <c r="DP5" s="5" t="s">
        <v>228</v>
      </c>
      <c r="DQ5" s="5" t="s">
        <v>229</v>
      </c>
      <c r="DR5" s="5" t="s">
        <v>230</v>
      </c>
      <c r="DS5" s="5" t="s">
        <v>231</v>
      </c>
      <c r="DT5" s="5" t="s">
        <v>232</v>
      </c>
      <c r="DU5" s="5" t="s">
        <v>233</v>
      </c>
      <c r="DV5" s="5" t="s">
        <v>234</v>
      </c>
      <c r="DW5" s="5" t="s">
        <v>235</v>
      </c>
      <c r="DX5" s="5" t="s">
        <v>236</v>
      </c>
      <c r="DY5" s="5" t="s">
        <v>237</v>
      </c>
      <c r="DZ5" s="5" t="s">
        <v>238</v>
      </c>
      <c r="EA5" s="4" t="s">
        <v>239</v>
      </c>
      <c r="EB5" s="4" t="s">
        <v>240</v>
      </c>
      <c r="EC5" s="4" t="s">
        <v>241</v>
      </c>
      <c r="ED5" s="4" t="s">
        <v>242</v>
      </c>
      <c r="EE5" s="4" t="s">
        <v>243</v>
      </c>
      <c r="EF5" s="4" t="s">
        <v>244</v>
      </c>
      <c r="EG5" s="4" t="s">
        <v>245</v>
      </c>
      <c r="EH5" s="4" t="s">
        <v>246</v>
      </c>
      <c r="EI5" s="4" t="s">
        <v>247</v>
      </c>
      <c r="EJ5" s="4" t="s">
        <v>248</v>
      </c>
      <c r="EK5" s="4" t="s">
        <v>249</v>
      </c>
      <c r="EL5" s="4" t="s">
        <v>250</v>
      </c>
      <c r="EM5" s="4" t="s">
        <v>251</v>
      </c>
      <c r="EN5" s="4" t="s">
        <v>252</v>
      </c>
      <c r="EO5" s="4" t="s">
        <v>253</v>
      </c>
      <c r="EP5" s="4" t="s">
        <v>254</v>
      </c>
      <c r="EQ5" s="4" t="s">
        <v>255</v>
      </c>
      <c r="ER5" s="4" t="s">
        <v>256</v>
      </c>
      <c r="ES5" s="4" t="s">
        <v>257</v>
      </c>
      <c r="ET5" s="4" t="s">
        <v>258</v>
      </c>
      <c r="EU5" s="7" t="s">
        <v>259</v>
      </c>
      <c r="EV5" s="7" t="s">
        <v>260</v>
      </c>
      <c r="EW5" s="7" t="s">
        <v>261</v>
      </c>
      <c r="EX5" s="7" t="s">
        <v>262</v>
      </c>
      <c r="EY5" s="7" t="s">
        <v>263</v>
      </c>
      <c r="EZ5" s="7" t="s">
        <v>264</v>
      </c>
      <c r="FA5" s="7" t="s">
        <v>265</v>
      </c>
      <c r="FB5" s="7" t="s">
        <v>266</v>
      </c>
      <c r="FC5" s="7" t="s">
        <v>267</v>
      </c>
      <c r="FD5" s="7" t="s">
        <v>268</v>
      </c>
      <c r="FE5" s="7" t="s">
        <v>269</v>
      </c>
      <c r="FF5" s="7" t="s">
        <v>270</v>
      </c>
      <c r="FG5" s="7" t="s">
        <v>271</v>
      </c>
      <c r="FH5" s="7" t="s">
        <v>272</v>
      </c>
      <c r="FI5" s="7" t="s">
        <v>273</v>
      </c>
      <c r="FJ5" s="7" t="s">
        <v>274</v>
      </c>
      <c r="FK5" s="7" t="s">
        <v>275</v>
      </c>
      <c r="FL5" s="7" t="s">
        <v>276</v>
      </c>
      <c r="FM5" s="7" t="s">
        <v>277</v>
      </c>
      <c r="FN5" s="7" t="s">
        <v>278</v>
      </c>
      <c r="FO5" s="8" t="s">
        <v>279</v>
      </c>
      <c r="FP5" s="8" t="s">
        <v>280</v>
      </c>
      <c r="FQ5" s="8" t="s">
        <v>281</v>
      </c>
      <c r="FR5" s="8" t="s">
        <v>279</v>
      </c>
      <c r="FS5" s="8" t="s">
        <v>280</v>
      </c>
      <c r="FT5" s="8" t="s">
        <v>281</v>
      </c>
      <c r="FU5" s="8" t="s">
        <v>279</v>
      </c>
      <c r="FV5" s="8" t="s">
        <v>280</v>
      </c>
      <c r="FW5" s="8" t="s">
        <v>281</v>
      </c>
      <c r="FX5" s="8" t="s">
        <v>279</v>
      </c>
      <c r="FY5" s="8" t="s">
        <v>280</v>
      </c>
      <c r="FZ5" s="8" t="s">
        <v>281</v>
      </c>
      <c r="GA5" s="8" t="s">
        <v>279</v>
      </c>
      <c r="GB5" s="8" t="s">
        <v>280</v>
      </c>
      <c r="GC5" s="8" t="s">
        <v>281</v>
      </c>
      <c r="GD5" s="1" t="s">
        <v>282</v>
      </c>
      <c r="GE5" s="1" t="s">
        <v>283</v>
      </c>
      <c r="GF5" s="1" t="s">
        <v>284</v>
      </c>
      <c r="GG5" s="1" t="s">
        <v>285</v>
      </c>
      <c r="GH5" s="1" t="s">
        <v>286</v>
      </c>
      <c r="GI5" s="1" t="s">
        <v>287</v>
      </c>
      <c r="GJ5" s="1" t="s">
        <v>288</v>
      </c>
      <c r="GK5" s="1" t="s">
        <v>289</v>
      </c>
    </row>
    <row r="6" spans="1:193" ht="18" customHeight="1">
      <c r="A6" s="9" t="str">
        <f t="shared" ref="A6:A37" si="0">IF(B6&lt;&gt;"","OBS-"&amp;TEXT(ROW()-5,"000"),"")</f>
        <v/>
      </c>
      <c r="B6" s="10"/>
      <c r="C6" s="11"/>
      <c r="D6" s="10"/>
      <c r="E6" s="11"/>
      <c r="F6" s="11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2">
        <v>10</v>
      </c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5"/>
      <c r="DG6" s="14"/>
      <c r="DH6" s="14"/>
      <c r="DI6" s="14"/>
      <c r="DJ6" s="14"/>
      <c r="DK6" s="14"/>
      <c r="DL6" s="14"/>
      <c r="DM6" s="14"/>
      <c r="DN6" s="14"/>
      <c r="DO6" s="14"/>
      <c r="DP6" s="14"/>
      <c r="DQ6" s="14"/>
      <c r="DR6" s="14"/>
      <c r="DS6" s="14"/>
      <c r="DT6" s="14"/>
      <c r="DU6" s="14"/>
      <c r="DV6" s="14"/>
      <c r="DW6" s="14"/>
      <c r="DX6" s="14"/>
      <c r="DY6" s="14"/>
      <c r="DZ6" s="14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6"/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16"/>
      <c r="FN6" s="16"/>
      <c r="FO6" s="17"/>
      <c r="FP6" s="17"/>
      <c r="FQ6" s="17"/>
      <c r="FR6" s="17"/>
      <c r="FS6" s="17"/>
      <c r="FT6" s="17"/>
      <c r="FU6" s="17"/>
      <c r="FV6" s="17"/>
      <c r="FW6" s="17"/>
      <c r="FX6" s="17"/>
      <c r="FY6" s="17"/>
      <c r="FZ6" s="17"/>
      <c r="GA6" s="17"/>
      <c r="GB6" s="17"/>
      <c r="GC6" s="17"/>
      <c r="GD6" s="13"/>
      <c r="GE6" s="13"/>
      <c r="GF6" s="13"/>
      <c r="GG6" s="13"/>
      <c r="GH6" s="13"/>
      <c r="GI6" s="13"/>
      <c r="GJ6" s="13"/>
      <c r="GK6" s="13"/>
    </row>
    <row r="7" spans="1:193" ht="18" customHeight="1">
      <c r="A7" s="18" t="str">
        <f t="shared" si="0"/>
        <v/>
      </c>
      <c r="B7" s="19"/>
      <c r="C7" s="20"/>
      <c r="D7" s="19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>
        <v>7</v>
      </c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0"/>
      <c r="EQ7" s="20"/>
      <c r="ER7" s="20"/>
      <c r="ES7" s="20"/>
      <c r="ET7" s="20"/>
      <c r="EU7" s="20"/>
      <c r="EV7" s="20"/>
      <c r="EW7" s="20"/>
      <c r="EX7" s="20"/>
      <c r="EY7" s="20"/>
      <c r="EZ7" s="20"/>
      <c r="FA7" s="20"/>
      <c r="FB7" s="20"/>
      <c r="FC7" s="20"/>
      <c r="FD7" s="20"/>
      <c r="FE7" s="20"/>
      <c r="FF7" s="20"/>
      <c r="FG7" s="20"/>
      <c r="FH7" s="20"/>
      <c r="FI7" s="20"/>
      <c r="FJ7" s="20"/>
      <c r="FK7" s="20"/>
      <c r="FL7" s="20"/>
      <c r="FM7" s="20"/>
      <c r="FN7" s="20"/>
      <c r="FO7" s="20"/>
      <c r="FP7" s="20"/>
      <c r="FQ7" s="20"/>
      <c r="FR7" s="20"/>
      <c r="FS7" s="20"/>
      <c r="FT7" s="20"/>
      <c r="FU7" s="20"/>
      <c r="FV7" s="20"/>
      <c r="FW7" s="20"/>
      <c r="FX7" s="20"/>
      <c r="FY7" s="20"/>
      <c r="FZ7" s="20"/>
      <c r="GA7" s="20"/>
      <c r="GB7" s="20"/>
      <c r="GC7" s="20"/>
      <c r="GD7" s="20"/>
      <c r="GE7" s="20"/>
      <c r="GF7" s="20"/>
      <c r="GG7" s="20"/>
      <c r="GH7" s="20"/>
      <c r="GI7" s="20"/>
      <c r="GJ7" s="20"/>
      <c r="GK7" s="20"/>
    </row>
    <row r="8" spans="1:193" ht="18" customHeight="1">
      <c r="A8" s="9" t="str">
        <f t="shared" si="0"/>
        <v/>
      </c>
      <c r="B8" s="10"/>
      <c r="C8" s="11"/>
      <c r="D8" s="10"/>
      <c r="E8" s="11"/>
      <c r="F8" s="11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T8" s="14"/>
      <c r="DU8" s="14"/>
      <c r="DV8" s="14"/>
      <c r="DW8" s="14"/>
      <c r="DX8" s="14"/>
      <c r="DY8" s="14"/>
      <c r="DZ8" s="14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6"/>
      <c r="EV8" s="16"/>
      <c r="EW8" s="16"/>
      <c r="EX8" s="16"/>
      <c r="EY8" s="16"/>
      <c r="EZ8" s="16"/>
      <c r="FA8" s="16"/>
      <c r="FB8" s="16"/>
      <c r="FC8" s="16"/>
      <c r="FD8" s="16"/>
      <c r="FE8" s="16"/>
      <c r="FF8" s="16"/>
      <c r="FG8" s="16"/>
      <c r="FH8" s="16"/>
      <c r="FI8" s="16"/>
      <c r="FJ8" s="16"/>
      <c r="FK8" s="16"/>
      <c r="FL8" s="16"/>
      <c r="FM8" s="16"/>
      <c r="FN8" s="16"/>
      <c r="FO8" s="17"/>
      <c r="FP8" s="17"/>
      <c r="FQ8" s="17"/>
      <c r="FR8" s="17"/>
      <c r="FS8" s="17"/>
      <c r="FT8" s="17"/>
      <c r="FU8" s="17"/>
      <c r="FV8" s="17"/>
      <c r="FW8" s="17"/>
      <c r="FX8" s="17"/>
      <c r="FY8" s="17"/>
      <c r="FZ8" s="17"/>
      <c r="GA8" s="17"/>
      <c r="GB8" s="17"/>
      <c r="GC8" s="17"/>
      <c r="GD8" s="13"/>
      <c r="GE8" s="13"/>
      <c r="GF8" s="13"/>
      <c r="GG8" s="13"/>
      <c r="GH8" s="13"/>
      <c r="GI8" s="13"/>
      <c r="GJ8" s="13"/>
      <c r="GK8" s="13"/>
    </row>
    <row r="9" spans="1:193" ht="18" customHeight="1">
      <c r="A9" s="18" t="str">
        <f t="shared" si="0"/>
        <v/>
      </c>
      <c r="B9" s="19"/>
      <c r="C9" s="20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0"/>
      <c r="EQ9" s="20"/>
      <c r="ER9" s="20"/>
      <c r="ES9" s="20"/>
      <c r="ET9" s="20"/>
      <c r="EU9" s="20"/>
      <c r="EV9" s="20"/>
      <c r="EW9" s="20"/>
      <c r="EX9" s="20"/>
      <c r="EY9" s="20"/>
      <c r="EZ9" s="20"/>
      <c r="FA9" s="20"/>
      <c r="FB9" s="20"/>
      <c r="FC9" s="20"/>
      <c r="FD9" s="20"/>
      <c r="FE9" s="20"/>
      <c r="FF9" s="20"/>
      <c r="FG9" s="20"/>
      <c r="FH9" s="20"/>
      <c r="FI9" s="20"/>
      <c r="FJ9" s="20"/>
      <c r="FK9" s="20"/>
      <c r="FL9" s="20"/>
      <c r="FM9" s="20"/>
      <c r="FN9" s="20"/>
      <c r="FO9" s="20"/>
      <c r="FP9" s="20"/>
      <c r="FQ9" s="20"/>
      <c r="FR9" s="20"/>
      <c r="FS9" s="20"/>
      <c r="FT9" s="20"/>
      <c r="FU9" s="20"/>
      <c r="FV9" s="20"/>
      <c r="FW9" s="20"/>
      <c r="FX9" s="20"/>
      <c r="FY9" s="20"/>
      <c r="FZ9" s="20"/>
      <c r="GA9" s="20"/>
      <c r="GB9" s="20"/>
      <c r="GC9" s="20"/>
      <c r="GD9" s="20"/>
      <c r="GE9" s="20"/>
      <c r="GF9" s="20"/>
      <c r="GG9" s="20"/>
      <c r="GH9" s="20"/>
      <c r="GI9" s="20"/>
      <c r="GJ9" s="20"/>
      <c r="GK9" s="20"/>
    </row>
    <row r="10" spans="1:193" ht="18" customHeight="1">
      <c r="A10" s="9" t="str">
        <f t="shared" si="0"/>
        <v/>
      </c>
      <c r="B10" s="10"/>
      <c r="C10" s="11"/>
      <c r="D10" s="10"/>
      <c r="E10" s="11"/>
      <c r="F10" s="11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4"/>
      <c r="DH10" s="14"/>
      <c r="DI10" s="14"/>
      <c r="DJ10" s="14"/>
      <c r="DK10" s="14"/>
      <c r="DL10" s="14"/>
      <c r="DM10" s="14"/>
      <c r="DN10" s="14"/>
      <c r="DO10" s="14"/>
      <c r="DP10" s="14"/>
      <c r="DQ10" s="14"/>
      <c r="DR10" s="14"/>
      <c r="DS10" s="14"/>
      <c r="DT10" s="14"/>
      <c r="DU10" s="14"/>
      <c r="DV10" s="14"/>
      <c r="DW10" s="14"/>
      <c r="DX10" s="14"/>
      <c r="DY10" s="14"/>
      <c r="DZ10" s="14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6"/>
      <c r="EV10" s="16"/>
      <c r="EW10" s="16"/>
      <c r="EX10" s="16"/>
      <c r="EY10" s="16"/>
      <c r="EZ10" s="16"/>
      <c r="FA10" s="16"/>
      <c r="FB10" s="16"/>
      <c r="FC10" s="16"/>
      <c r="FD10" s="16"/>
      <c r="FE10" s="16"/>
      <c r="FF10" s="16"/>
      <c r="FG10" s="16"/>
      <c r="FH10" s="16"/>
      <c r="FI10" s="16"/>
      <c r="FJ10" s="16"/>
      <c r="FK10" s="16"/>
      <c r="FL10" s="16"/>
      <c r="FM10" s="16"/>
      <c r="FN10" s="16"/>
      <c r="FO10" s="17"/>
      <c r="FP10" s="17"/>
      <c r="FQ10" s="17"/>
      <c r="FR10" s="17"/>
      <c r="FS10" s="17"/>
      <c r="FT10" s="17"/>
      <c r="FU10" s="17"/>
      <c r="FV10" s="17"/>
      <c r="FW10" s="17"/>
      <c r="FX10" s="17"/>
      <c r="FY10" s="17"/>
      <c r="FZ10" s="17"/>
      <c r="GA10" s="17"/>
      <c r="GB10" s="17"/>
      <c r="GC10" s="17"/>
      <c r="GD10" s="13"/>
      <c r="GE10" s="13"/>
      <c r="GF10" s="13"/>
      <c r="GG10" s="13"/>
      <c r="GH10" s="13"/>
      <c r="GI10" s="13"/>
      <c r="GJ10" s="13"/>
      <c r="GK10" s="13"/>
    </row>
    <row r="11" spans="1:193" ht="18" customHeight="1">
      <c r="A11" s="18" t="str">
        <f t="shared" si="0"/>
        <v/>
      </c>
      <c r="B11" s="19"/>
      <c r="C11" s="20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20"/>
      <c r="GF11" s="20"/>
      <c r="GG11" s="20"/>
      <c r="GH11" s="20"/>
      <c r="GI11" s="20"/>
      <c r="GJ11" s="20"/>
      <c r="GK11" s="20"/>
    </row>
    <row r="12" spans="1:193" ht="18" customHeight="1">
      <c r="A12" s="9" t="str">
        <f t="shared" si="0"/>
        <v/>
      </c>
      <c r="B12" s="10"/>
      <c r="C12" s="11"/>
      <c r="D12" s="10"/>
      <c r="E12" s="11"/>
      <c r="F12" s="11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4"/>
      <c r="DH12" s="14"/>
      <c r="DI12" s="14"/>
      <c r="DJ12" s="14"/>
      <c r="DK12" s="14"/>
      <c r="DL12" s="14"/>
      <c r="DM12" s="14"/>
      <c r="DN12" s="14"/>
      <c r="DO12" s="14"/>
      <c r="DP12" s="14"/>
      <c r="DQ12" s="14"/>
      <c r="DR12" s="14"/>
      <c r="DS12" s="14"/>
      <c r="DT12" s="14"/>
      <c r="DU12" s="14"/>
      <c r="DV12" s="14"/>
      <c r="DW12" s="14"/>
      <c r="DX12" s="14"/>
      <c r="DY12" s="14"/>
      <c r="DZ12" s="14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6"/>
      <c r="EV12" s="16"/>
      <c r="EW12" s="16"/>
      <c r="EX12" s="16"/>
      <c r="EY12" s="16"/>
      <c r="EZ12" s="16"/>
      <c r="FA12" s="16"/>
      <c r="FB12" s="16"/>
      <c r="FC12" s="16"/>
      <c r="FD12" s="16"/>
      <c r="FE12" s="16"/>
      <c r="FF12" s="16"/>
      <c r="FG12" s="16"/>
      <c r="FH12" s="16"/>
      <c r="FI12" s="16"/>
      <c r="FJ12" s="16"/>
      <c r="FK12" s="16"/>
      <c r="FL12" s="16"/>
      <c r="FM12" s="16"/>
      <c r="FN12" s="16"/>
      <c r="FO12" s="17"/>
      <c r="FP12" s="17"/>
      <c r="FQ12" s="17"/>
      <c r="FR12" s="17"/>
      <c r="FS12" s="17"/>
      <c r="FT12" s="17"/>
      <c r="FU12" s="17"/>
      <c r="FV12" s="17"/>
      <c r="FW12" s="17"/>
      <c r="FX12" s="17"/>
      <c r="FY12" s="17"/>
      <c r="FZ12" s="17"/>
      <c r="GA12" s="17"/>
      <c r="GB12" s="17"/>
      <c r="GC12" s="17"/>
      <c r="GD12" s="13"/>
      <c r="GE12" s="13"/>
      <c r="GF12" s="13"/>
      <c r="GG12" s="13"/>
      <c r="GH12" s="13"/>
      <c r="GI12" s="13"/>
      <c r="GJ12" s="13"/>
      <c r="GK12" s="13"/>
    </row>
    <row r="13" spans="1:193" ht="18" customHeight="1">
      <c r="A13" s="18" t="str">
        <f t="shared" si="0"/>
        <v/>
      </c>
      <c r="B13" s="19"/>
      <c r="C13" s="20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20"/>
      <c r="EQ13" s="20"/>
      <c r="ER13" s="20"/>
      <c r="ES13" s="20"/>
      <c r="ET13" s="20"/>
      <c r="EU13" s="20"/>
      <c r="EV13" s="20"/>
      <c r="EW13" s="20"/>
      <c r="EX13" s="20"/>
      <c r="EY13" s="20"/>
      <c r="EZ13" s="20"/>
      <c r="FA13" s="20"/>
      <c r="FB13" s="20"/>
      <c r="FC13" s="20"/>
      <c r="FD13" s="20"/>
      <c r="FE13" s="20"/>
      <c r="FF13" s="20"/>
      <c r="FG13" s="20"/>
      <c r="FH13" s="20"/>
      <c r="FI13" s="20"/>
      <c r="FJ13" s="20"/>
      <c r="FK13" s="20"/>
      <c r="FL13" s="20"/>
      <c r="FM13" s="20"/>
      <c r="FN13" s="20"/>
      <c r="FO13" s="20"/>
      <c r="FP13" s="20"/>
      <c r="FQ13" s="20"/>
      <c r="FR13" s="20"/>
      <c r="FS13" s="20"/>
      <c r="FT13" s="20"/>
      <c r="FU13" s="20"/>
      <c r="FV13" s="20"/>
      <c r="FW13" s="20"/>
      <c r="FX13" s="20"/>
      <c r="FY13" s="20"/>
      <c r="FZ13" s="20"/>
      <c r="GA13" s="20"/>
      <c r="GB13" s="20"/>
      <c r="GC13" s="20"/>
      <c r="GD13" s="20"/>
      <c r="GE13" s="20"/>
      <c r="GF13" s="20"/>
      <c r="GG13" s="20"/>
      <c r="GH13" s="20"/>
      <c r="GI13" s="20"/>
      <c r="GJ13" s="20"/>
      <c r="GK13" s="20"/>
    </row>
    <row r="14" spans="1:193" ht="18" customHeight="1">
      <c r="A14" s="9" t="str">
        <f t="shared" si="0"/>
        <v/>
      </c>
      <c r="B14" s="10"/>
      <c r="C14" s="11"/>
      <c r="D14" s="10"/>
      <c r="E14" s="11"/>
      <c r="F14" s="11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4"/>
      <c r="DH14" s="14"/>
      <c r="DI14" s="14"/>
      <c r="DJ14" s="14"/>
      <c r="DK14" s="14"/>
      <c r="DL14" s="14"/>
      <c r="DM14" s="14"/>
      <c r="DN14" s="14"/>
      <c r="DO14" s="14"/>
      <c r="DP14" s="14"/>
      <c r="DQ14" s="14"/>
      <c r="DR14" s="14"/>
      <c r="DS14" s="14"/>
      <c r="DT14" s="14"/>
      <c r="DU14" s="14"/>
      <c r="DV14" s="14"/>
      <c r="DW14" s="14"/>
      <c r="DX14" s="14"/>
      <c r="DY14" s="14"/>
      <c r="DZ14" s="14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6"/>
      <c r="EV14" s="16"/>
      <c r="EW14" s="16"/>
      <c r="EX14" s="16"/>
      <c r="EY14" s="16"/>
      <c r="EZ14" s="16"/>
      <c r="FA14" s="16"/>
      <c r="FB14" s="16"/>
      <c r="FC14" s="16"/>
      <c r="FD14" s="16"/>
      <c r="FE14" s="16"/>
      <c r="FF14" s="16"/>
      <c r="FG14" s="16"/>
      <c r="FH14" s="16"/>
      <c r="FI14" s="16"/>
      <c r="FJ14" s="16"/>
      <c r="FK14" s="16"/>
      <c r="FL14" s="16"/>
      <c r="FM14" s="16"/>
      <c r="FN14" s="16"/>
      <c r="FO14" s="17"/>
      <c r="FP14" s="17"/>
      <c r="FQ14" s="17"/>
      <c r="FR14" s="17"/>
      <c r="FS14" s="17"/>
      <c r="FT14" s="17"/>
      <c r="FU14" s="17"/>
      <c r="FV14" s="17"/>
      <c r="FW14" s="17"/>
      <c r="FX14" s="17"/>
      <c r="FY14" s="17"/>
      <c r="FZ14" s="17"/>
      <c r="GA14" s="17"/>
      <c r="GB14" s="17"/>
      <c r="GC14" s="17"/>
      <c r="GD14" s="13"/>
      <c r="GE14" s="13"/>
      <c r="GF14" s="13"/>
      <c r="GG14" s="13"/>
      <c r="GH14" s="13"/>
      <c r="GI14" s="13"/>
      <c r="GJ14" s="13"/>
      <c r="GK14" s="13"/>
    </row>
    <row r="15" spans="1:193" ht="18" customHeight="1">
      <c r="A15" s="18" t="str">
        <f t="shared" si="0"/>
        <v/>
      </c>
      <c r="B15" s="19"/>
      <c r="C15" s="20"/>
      <c r="D15" s="19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20"/>
      <c r="EQ15" s="20"/>
      <c r="ER15" s="20"/>
      <c r="ES15" s="20"/>
      <c r="ET15" s="20"/>
      <c r="EU15" s="20"/>
      <c r="EV15" s="20"/>
      <c r="EW15" s="20"/>
      <c r="EX15" s="20"/>
      <c r="EY15" s="20"/>
      <c r="EZ15" s="20"/>
      <c r="FA15" s="20"/>
      <c r="FB15" s="20"/>
      <c r="FC15" s="20"/>
      <c r="FD15" s="20"/>
      <c r="FE15" s="20"/>
      <c r="FF15" s="20"/>
      <c r="FG15" s="20"/>
      <c r="FH15" s="20"/>
      <c r="FI15" s="20"/>
      <c r="FJ15" s="20"/>
      <c r="FK15" s="20"/>
      <c r="FL15" s="20"/>
      <c r="FM15" s="20"/>
      <c r="FN15" s="20"/>
      <c r="FO15" s="20"/>
      <c r="FP15" s="20"/>
      <c r="FQ15" s="20"/>
      <c r="FR15" s="20"/>
      <c r="FS15" s="20"/>
      <c r="FT15" s="20"/>
      <c r="FU15" s="20"/>
      <c r="FV15" s="20"/>
      <c r="FW15" s="20"/>
      <c r="FX15" s="20"/>
      <c r="FY15" s="20"/>
      <c r="FZ15" s="20"/>
      <c r="GA15" s="20"/>
      <c r="GB15" s="20"/>
      <c r="GC15" s="20"/>
      <c r="GD15" s="20"/>
      <c r="GE15" s="20"/>
      <c r="GF15" s="20"/>
      <c r="GG15" s="20"/>
      <c r="GH15" s="20"/>
      <c r="GI15" s="20"/>
      <c r="GJ15" s="20"/>
      <c r="GK15" s="20"/>
    </row>
    <row r="16" spans="1:193" ht="18" customHeight="1">
      <c r="A16" s="9" t="str">
        <f t="shared" si="0"/>
        <v/>
      </c>
      <c r="B16" s="10"/>
      <c r="C16" s="11"/>
      <c r="D16" s="10"/>
      <c r="E16" s="11"/>
      <c r="F16" s="11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4"/>
      <c r="DH16" s="14"/>
      <c r="DI16" s="14"/>
      <c r="DJ16" s="14"/>
      <c r="DK16" s="14"/>
      <c r="DL16" s="14"/>
      <c r="DM16" s="14"/>
      <c r="DN16" s="14"/>
      <c r="DO16" s="14"/>
      <c r="DP16" s="14"/>
      <c r="DQ16" s="14"/>
      <c r="DR16" s="14"/>
      <c r="DS16" s="14"/>
      <c r="DT16" s="14"/>
      <c r="DU16" s="14"/>
      <c r="DV16" s="14"/>
      <c r="DW16" s="14"/>
      <c r="DX16" s="14"/>
      <c r="DY16" s="14"/>
      <c r="DZ16" s="14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6"/>
      <c r="EV16" s="16"/>
      <c r="EW16" s="16"/>
      <c r="EX16" s="16"/>
      <c r="EY16" s="16"/>
      <c r="EZ16" s="16"/>
      <c r="FA16" s="16"/>
      <c r="FB16" s="16"/>
      <c r="FC16" s="16"/>
      <c r="FD16" s="16"/>
      <c r="FE16" s="16"/>
      <c r="FF16" s="16"/>
      <c r="FG16" s="16"/>
      <c r="FH16" s="16"/>
      <c r="FI16" s="16"/>
      <c r="FJ16" s="16"/>
      <c r="FK16" s="16"/>
      <c r="FL16" s="16"/>
      <c r="FM16" s="16"/>
      <c r="FN16" s="16"/>
      <c r="FO16" s="17"/>
      <c r="FP16" s="17"/>
      <c r="FQ16" s="17"/>
      <c r="FR16" s="17"/>
      <c r="FS16" s="17"/>
      <c r="FT16" s="17"/>
      <c r="FU16" s="17"/>
      <c r="FV16" s="17"/>
      <c r="FW16" s="17"/>
      <c r="FX16" s="17"/>
      <c r="FY16" s="17"/>
      <c r="FZ16" s="17"/>
      <c r="GA16" s="17"/>
      <c r="GB16" s="17"/>
      <c r="GC16" s="17"/>
      <c r="GD16" s="13"/>
      <c r="GE16" s="13"/>
      <c r="GF16" s="13"/>
      <c r="GG16" s="13"/>
      <c r="GH16" s="13"/>
      <c r="GI16" s="13"/>
      <c r="GJ16" s="13"/>
      <c r="GK16" s="13"/>
    </row>
    <row r="17" spans="1:193" ht="18" customHeight="1">
      <c r="A17" s="18" t="str">
        <f t="shared" si="0"/>
        <v/>
      </c>
      <c r="B17" s="19"/>
      <c r="C17" s="20"/>
      <c r="D17" s="19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20"/>
      <c r="EQ17" s="20"/>
      <c r="ER17" s="20"/>
      <c r="ES17" s="20"/>
      <c r="ET17" s="20"/>
      <c r="EU17" s="20"/>
      <c r="EV17" s="20"/>
      <c r="EW17" s="20"/>
      <c r="EX17" s="20"/>
      <c r="EY17" s="20"/>
      <c r="EZ17" s="20"/>
      <c r="FA17" s="20"/>
      <c r="FB17" s="20"/>
      <c r="FC17" s="20"/>
      <c r="FD17" s="20"/>
      <c r="FE17" s="20"/>
      <c r="FF17" s="20"/>
      <c r="FG17" s="20"/>
      <c r="FH17" s="20"/>
      <c r="FI17" s="20"/>
      <c r="FJ17" s="20"/>
      <c r="FK17" s="20"/>
      <c r="FL17" s="20"/>
      <c r="FM17" s="20"/>
      <c r="FN17" s="20"/>
      <c r="FO17" s="20"/>
      <c r="FP17" s="20"/>
      <c r="FQ17" s="20"/>
      <c r="FR17" s="20"/>
      <c r="FS17" s="20"/>
      <c r="FT17" s="20"/>
      <c r="FU17" s="20"/>
      <c r="FV17" s="20"/>
      <c r="FW17" s="20"/>
      <c r="FX17" s="20"/>
      <c r="FY17" s="20"/>
      <c r="FZ17" s="20"/>
      <c r="GA17" s="20"/>
      <c r="GB17" s="20"/>
      <c r="GC17" s="20"/>
      <c r="GD17" s="20"/>
      <c r="GE17" s="20"/>
      <c r="GF17" s="20"/>
      <c r="GG17" s="20"/>
      <c r="GH17" s="20"/>
      <c r="GI17" s="20"/>
      <c r="GJ17" s="20"/>
      <c r="GK17" s="20"/>
    </row>
    <row r="18" spans="1:193" ht="18" customHeight="1">
      <c r="A18" s="9" t="str">
        <f t="shared" si="0"/>
        <v/>
      </c>
      <c r="B18" s="10"/>
      <c r="C18" s="11"/>
      <c r="D18" s="10"/>
      <c r="E18" s="11"/>
      <c r="F18" s="11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4"/>
      <c r="DH18" s="14"/>
      <c r="DI18" s="14"/>
      <c r="DJ18" s="14"/>
      <c r="DK18" s="14"/>
      <c r="DL18" s="14"/>
      <c r="DM18" s="14"/>
      <c r="DN18" s="14"/>
      <c r="DO18" s="14"/>
      <c r="DP18" s="14"/>
      <c r="DQ18" s="14"/>
      <c r="DR18" s="14"/>
      <c r="DS18" s="14"/>
      <c r="DT18" s="14"/>
      <c r="DU18" s="14"/>
      <c r="DV18" s="14"/>
      <c r="DW18" s="14"/>
      <c r="DX18" s="14"/>
      <c r="DY18" s="14"/>
      <c r="DZ18" s="14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6"/>
      <c r="EV18" s="16"/>
      <c r="EW18" s="16"/>
      <c r="EX18" s="16"/>
      <c r="EY18" s="16"/>
      <c r="EZ18" s="16"/>
      <c r="FA18" s="16"/>
      <c r="FB18" s="16"/>
      <c r="FC18" s="16"/>
      <c r="FD18" s="16"/>
      <c r="FE18" s="16"/>
      <c r="FF18" s="16"/>
      <c r="FG18" s="16"/>
      <c r="FH18" s="16"/>
      <c r="FI18" s="16"/>
      <c r="FJ18" s="16"/>
      <c r="FK18" s="16"/>
      <c r="FL18" s="16"/>
      <c r="FM18" s="16"/>
      <c r="FN18" s="16"/>
      <c r="FO18" s="17"/>
      <c r="FP18" s="17"/>
      <c r="FQ18" s="17"/>
      <c r="FR18" s="17"/>
      <c r="FS18" s="17"/>
      <c r="FT18" s="17"/>
      <c r="FU18" s="17"/>
      <c r="FV18" s="17"/>
      <c r="FW18" s="17"/>
      <c r="FX18" s="17"/>
      <c r="FY18" s="17"/>
      <c r="FZ18" s="17"/>
      <c r="GA18" s="17"/>
      <c r="GB18" s="17"/>
      <c r="GC18" s="17"/>
      <c r="GD18" s="13"/>
      <c r="GE18" s="13"/>
      <c r="GF18" s="13"/>
      <c r="GG18" s="13"/>
      <c r="GH18" s="13"/>
      <c r="GI18" s="13"/>
      <c r="GJ18" s="13"/>
      <c r="GK18" s="13"/>
    </row>
    <row r="19" spans="1:193" ht="18" customHeight="1">
      <c r="A19" s="18" t="str">
        <f t="shared" si="0"/>
        <v/>
      </c>
      <c r="B19" s="19"/>
      <c r="C19" s="20"/>
      <c r="D19" s="19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20"/>
      <c r="EQ19" s="20"/>
      <c r="ER19" s="20"/>
      <c r="ES19" s="20"/>
      <c r="ET19" s="20"/>
      <c r="EU19" s="20"/>
      <c r="EV19" s="20"/>
      <c r="EW19" s="20"/>
      <c r="EX19" s="20"/>
      <c r="EY19" s="20"/>
      <c r="EZ19" s="20"/>
      <c r="FA19" s="20"/>
      <c r="FB19" s="20"/>
      <c r="FC19" s="20"/>
      <c r="FD19" s="20"/>
      <c r="FE19" s="20"/>
      <c r="FF19" s="20"/>
      <c r="FG19" s="20"/>
      <c r="FH19" s="20"/>
      <c r="FI19" s="20"/>
      <c r="FJ19" s="20"/>
      <c r="FK19" s="20"/>
      <c r="FL19" s="20"/>
      <c r="FM19" s="20"/>
      <c r="FN19" s="20"/>
      <c r="FO19" s="20"/>
      <c r="FP19" s="20"/>
      <c r="FQ19" s="20"/>
      <c r="FR19" s="20"/>
      <c r="FS19" s="20"/>
      <c r="FT19" s="20"/>
      <c r="FU19" s="20"/>
      <c r="FV19" s="20"/>
      <c r="FW19" s="20"/>
      <c r="FX19" s="20"/>
      <c r="FY19" s="20"/>
      <c r="FZ19" s="20"/>
      <c r="GA19" s="20"/>
      <c r="GB19" s="20"/>
      <c r="GC19" s="20"/>
      <c r="GD19" s="20"/>
      <c r="GE19" s="20"/>
      <c r="GF19" s="20"/>
      <c r="GG19" s="20"/>
      <c r="GH19" s="20"/>
      <c r="GI19" s="20"/>
      <c r="GJ19" s="20"/>
      <c r="GK19" s="20"/>
    </row>
    <row r="20" spans="1:193" ht="18" customHeight="1">
      <c r="A20" s="9" t="str">
        <f t="shared" si="0"/>
        <v/>
      </c>
      <c r="B20" s="10"/>
      <c r="C20" s="11"/>
      <c r="D20" s="10"/>
      <c r="E20" s="11"/>
      <c r="F20" s="11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4"/>
      <c r="DH20" s="14"/>
      <c r="DI20" s="14"/>
      <c r="DJ20" s="14"/>
      <c r="DK20" s="14"/>
      <c r="DL20" s="14"/>
      <c r="DM20" s="14"/>
      <c r="DN20" s="14"/>
      <c r="DO20" s="14"/>
      <c r="DP20" s="14"/>
      <c r="DQ20" s="14"/>
      <c r="DR20" s="14"/>
      <c r="DS20" s="14"/>
      <c r="DT20" s="14"/>
      <c r="DU20" s="14"/>
      <c r="DV20" s="14"/>
      <c r="DW20" s="14"/>
      <c r="DX20" s="14"/>
      <c r="DY20" s="14"/>
      <c r="DZ20" s="14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6"/>
      <c r="EV20" s="16"/>
      <c r="EW20" s="16"/>
      <c r="EX20" s="16"/>
      <c r="EY20" s="16"/>
      <c r="EZ20" s="16"/>
      <c r="FA20" s="16"/>
      <c r="FB20" s="16"/>
      <c r="FC20" s="16"/>
      <c r="FD20" s="16"/>
      <c r="FE20" s="16"/>
      <c r="FF20" s="16"/>
      <c r="FG20" s="16"/>
      <c r="FH20" s="16"/>
      <c r="FI20" s="16"/>
      <c r="FJ20" s="16"/>
      <c r="FK20" s="16"/>
      <c r="FL20" s="16"/>
      <c r="FM20" s="16"/>
      <c r="FN20" s="16"/>
      <c r="FO20" s="17"/>
      <c r="FP20" s="17"/>
      <c r="FQ20" s="17"/>
      <c r="FR20" s="17"/>
      <c r="FS20" s="17"/>
      <c r="FT20" s="17"/>
      <c r="FU20" s="17"/>
      <c r="FV20" s="17"/>
      <c r="FW20" s="17"/>
      <c r="FX20" s="17"/>
      <c r="FY20" s="17"/>
      <c r="FZ20" s="17"/>
      <c r="GA20" s="17"/>
      <c r="GB20" s="17"/>
      <c r="GC20" s="17"/>
      <c r="GD20" s="13"/>
      <c r="GE20" s="13"/>
      <c r="GF20" s="13"/>
      <c r="GG20" s="13"/>
      <c r="GH20" s="13"/>
      <c r="GI20" s="13"/>
      <c r="GJ20" s="13"/>
      <c r="GK20" s="13"/>
    </row>
    <row r="21" spans="1:193" ht="18" customHeight="1">
      <c r="A21" s="18" t="str">
        <f t="shared" si="0"/>
        <v/>
      </c>
      <c r="B21" s="19"/>
      <c r="C21" s="20"/>
      <c r="D21" s="19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20"/>
      <c r="EQ21" s="20"/>
      <c r="ER21" s="20"/>
      <c r="ES21" s="20"/>
      <c r="ET21" s="20"/>
      <c r="EU21" s="20"/>
      <c r="EV21" s="20"/>
      <c r="EW21" s="20"/>
      <c r="EX21" s="20"/>
      <c r="EY21" s="20"/>
      <c r="EZ21" s="20"/>
      <c r="FA21" s="20"/>
      <c r="FB21" s="20"/>
      <c r="FC21" s="20"/>
      <c r="FD21" s="20"/>
      <c r="FE21" s="20"/>
      <c r="FF21" s="20"/>
      <c r="FG21" s="20"/>
      <c r="FH21" s="20"/>
      <c r="FI21" s="20"/>
      <c r="FJ21" s="20"/>
      <c r="FK21" s="20"/>
      <c r="FL21" s="20"/>
      <c r="FM21" s="20"/>
      <c r="FN21" s="20"/>
      <c r="FO21" s="20"/>
      <c r="FP21" s="20"/>
      <c r="FQ21" s="20"/>
      <c r="FR21" s="20"/>
      <c r="FS21" s="20"/>
      <c r="FT21" s="20"/>
      <c r="FU21" s="20"/>
      <c r="FV21" s="20"/>
      <c r="FW21" s="20"/>
      <c r="FX21" s="20"/>
      <c r="FY21" s="20"/>
      <c r="FZ21" s="20"/>
      <c r="GA21" s="20"/>
      <c r="GB21" s="20"/>
      <c r="GC21" s="20"/>
      <c r="GD21" s="20"/>
      <c r="GE21" s="20"/>
      <c r="GF21" s="20"/>
      <c r="GG21" s="20"/>
      <c r="GH21" s="20"/>
      <c r="GI21" s="20"/>
      <c r="GJ21" s="20"/>
      <c r="GK21" s="20"/>
    </row>
    <row r="22" spans="1:193" ht="18" customHeight="1">
      <c r="A22" s="9" t="str">
        <f t="shared" si="0"/>
        <v/>
      </c>
      <c r="B22" s="10"/>
      <c r="C22" s="11"/>
      <c r="D22" s="10"/>
      <c r="E22" s="11"/>
      <c r="F22" s="11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4"/>
      <c r="DH22" s="14"/>
      <c r="DI22" s="14"/>
      <c r="DJ22" s="14"/>
      <c r="DK22" s="14"/>
      <c r="DL22" s="14"/>
      <c r="DM22" s="14"/>
      <c r="DN22" s="14"/>
      <c r="DO22" s="14"/>
      <c r="DP22" s="14"/>
      <c r="DQ22" s="14"/>
      <c r="DR22" s="14"/>
      <c r="DS22" s="14"/>
      <c r="DT22" s="14"/>
      <c r="DU22" s="14"/>
      <c r="DV22" s="14"/>
      <c r="DW22" s="14"/>
      <c r="DX22" s="14"/>
      <c r="DY22" s="14"/>
      <c r="DZ22" s="14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6"/>
      <c r="EV22" s="16"/>
      <c r="EW22" s="16"/>
      <c r="EX22" s="16"/>
      <c r="EY22" s="16"/>
      <c r="EZ22" s="16"/>
      <c r="FA22" s="16"/>
      <c r="FB22" s="16"/>
      <c r="FC22" s="16"/>
      <c r="FD22" s="16"/>
      <c r="FE22" s="16"/>
      <c r="FF22" s="16"/>
      <c r="FG22" s="16"/>
      <c r="FH22" s="16"/>
      <c r="FI22" s="16"/>
      <c r="FJ22" s="16"/>
      <c r="FK22" s="16"/>
      <c r="FL22" s="16"/>
      <c r="FM22" s="16"/>
      <c r="FN22" s="16"/>
      <c r="FO22" s="17"/>
      <c r="FP22" s="17"/>
      <c r="FQ22" s="17"/>
      <c r="FR22" s="17"/>
      <c r="FS22" s="17"/>
      <c r="FT22" s="17"/>
      <c r="FU22" s="17"/>
      <c r="FV22" s="17"/>
      <c r="FW22" s="17"/>
      <c r="FX22" s="17"/>
      <c r="FY22" s="17"/>
      <c r="FZ22" s="17"/>
      <c r="GA22" s="17"/>
      <c r="GB22" s="17"/>
      <c r="GC22" s="17"/>
      <c r="GD22" s="13"/>
      <c r="GE22" s="13"/>
      <c r="GF22" s="13"/>
      <c r="GG22" s="13"/>
      <c r="GH22" s="13"/>
      <c r="GI22" s="13"/>
      <c r="GJ22" s="13"/>
      <c r="GK22" s="13"/>
    </row>
    <row r="23" spans="1:193" ht="18" customHeight="1">
      <c r="A23" s="18" t="str">
        <f t="shared" si="0"/>
        <v/>
      </c>
      <c r="B23" s="19"/>
      <c r="C23" s="20"/>
      <c r="D23" s="19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20"/>
      <c r="EQ23" s="20"/>
      <c r="ER23" s="20"/>
      <c r="ES23" s="20"/>
      <c r="ET23" s="20"/>
      <c r="EU23" s="20"/>
      <c r="EV23" s="20"/>
      <c r="EW23" s="20"/>
      <c r="EX23" s="20"/>
      <c r="EY23" s="20"/>
      <c r="EZ23" s="20"/>
      <c r="FA23" s="20"/>
      <c r="FB23" s="20"/>
      <c r="FC23" s="20"/>
      <c r="FD23" s="20"/>
      <c r="FE23" s="20"/>
      <c r="FF23" s="20"/>
      <c r="FG23" s="20"/>
      <c r="FH23" s="20"/>
      <c r="FI23" s="20"/>
      <c r="FJ23" s="20"/>
      <c r="FK23" s="20"/>
      <c r="FL23" s="20"/>
      <c r="FM23" s="20"/>
      <c r="FN23" s="20"/>
      <c r="FO23" s="20"/>
      <c r="FP23" s="20"/>
      <c r="FQ23" s="20"/>
      <c r="FR23" s="20"/>
      <c r="FS23" s="20"/>
      <c r="FT23" s="20"/>
      <c r="FU23" s="20"/>
      <c r="FV23" s="20"/>
      <c r="FW23" s="20"/>
      <c r="FX23" s="20"/>
      <c r="FY23" s="20"/>
      <c r="FZ23" s="20"/>
      <c r="GA23" s="20"/>
      <c r="GB23" s="20"/>
      <c r="GC23" s="20"/>
      <c r="GD23" s="20"/>
      <c r="GE23" s="20"/>
      <c r="GF23" s="20"/>
      <c r="GG23" s="20"/>
      <c r="GH23" s="20"/>
      <c r="GI23" s="20"/>
      <c r="GJ23" s="20"/>
      <c r="GK23" s="20"/>
    </row>
    <row r="24" spans="1:193" ht="18" customHeight="1">
      <c r="A24" s="9" t="str">
        <f t="shared" si="0"/>
        <v/>
      </c>
      <c r="B24" s="10"/>
      <c r="C24" s="11"/>
      <c r="D24" s="10"/>
      <c r="E24" s="11"/>
      <c r="F24" s="11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5"/>
      <c r="DG24" s="14"/>
      <c r="DH24" s="14"/>
      <c r="DI24" s="14"/>
      <c r="DJ24" s="14"/>
      <c r="DK24" s="14"/>
      <c r="DL24" s="14"/>
      <c r="DM24" s="14"/>
      <c r="DN24" s="14"/>
      <c r="DO24" s="14"/>
      <c r="DP24" s="14"/>
      <c r="DQ24" s="14"/>
      <c r="DR24" s="14"/>
      <c r="DS24" s="14"/>
      <c r="DT24" s="14"/>
      <c r="DU24" s="14"/>
      <c r="DV24" s="14"/>
      <c r="DW24" s="14"/>
      <c r="DX24" s="14"/>
      <c r="DY24" s="14"/>
      <c r="DZ24" s="14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7"/>
      <c r="FP24" s="17"/>
      <c r="FQ24" s="17"/>
      <c r="FR24" s="17"/>
      <c r="FS24" s="17"/>
      <c r="FT24" s="17"/>
      <c r="FU24" s="17"/>
      <c r="FV24" s="17"/>
      <c r="FW24" s="17"/>
      <c r="FX24" s="17"/>
      <c r="FY24" s="17"/>
      <c r="FZ24" s="17"/>
      <c r="GA24" s="17"/>
      <c r="GB24" s="17"/>
      <c r="GC24" s="17"/>
      <c r="GD24" s="13"/>
      <c r="GE24" s="13"/>
      <c r="GF24" s="13"/>
      <c r="GG24" s="13"/>
      <c r="GH24" s="13"/>
      <c r="GI24" s="13"/>
      <c r="GJ24" s="13"/>
      <c r="GK24" s="13"/>
    </row>
    <row r="25" spans="1:193" ht="18" customHeight="1">
      <c r="A25" s="18" t="str">
        <f t="shared" si="0"/>
        <v/>
      </c>
      <c r="B25" s="19"/>
      <c r="C25" s="20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20"/>
      <c r="EQ25" s="20"/>
      <c r="ER25" s="20"/>
      <c r="ES25" s="20"/>
      <c r="ET25" s="20"/>
      <c r="EU25" s="20"/>
      <c r="EV25" s="20"/>
      <c r="EW25" s="20"/>
      <c r="EX25" s="20"/>
      <c r="EY25" s="20"/>
      <c r="EZ25" s="20"/>
      <c r="FA25" s="20"/>
      <c r="FB25" s="20"/>
      <c r="FC25" s="20"/>
      <c r="FD25" s="20"/>
      <c r="FE25" s="20"/>
      <c r="FF25" s="20"/>
      <c r="FG25" s="20"/>
      <c r="FH25" s="20"/>
      <c r="FI25" s="20"/>
      <c r="FJ25" s="20"/>
      <c r="FK25" s="20"/>
      <c r="FL25" s="20"/>
      <c r="FM25" s="20"/>
      <c r="FN25" s="20"/>
      <c r="FO25" s="20"/>
      <c r="FP25" s="20"/>
      <c r="FQ25" s="20"/>
      <c r="FR25" s="20"/>
      <c r="FS25" s="20"/>
      <c r="FT25" s="20"/>
      <c r="FU25" s="20"/>
      <c r="FV25" s="20"/>
      <c r="FW25" s="20"/>
      <c r="FX25" s="20"/>
      <c r="FY25" s="20"/>
      <c r="FZ25" s="20"/>
      <c r="GA25" s="20"/>
      <c r="GB25" s="20"/>
      <c r="GC25" s="20"/>
      <c r="GD25" s="20"/>
      <c r="GE25" s="20"/>
      <c r="GF25" s="20"/>
      <c r="GG25" s="20"/>
      <c r="GH25" s="20"/>
      <c r="GI25" s="20"/>
      <c r="GJ25" s="20"/>
      <c r="GK25" s="20"/>
    </row>
    <row r="26" spans="1:193" ht="18" customHeight="1">
      <c r="A26" s="9" t="str">
        <f t="shared" si="0"/>
        <v/>
      </c>
      <c r="B26" s="10"/>
      <c r="C26" s="11"/>
      <c r="D26" s="10"/>
      <c r="E26" s="11"/>
      <c r="F26" s="11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15"/>
      <c r="DG26" s="14"/>
      <c r="DH26" s="14"/>
      <c r="DI26" s="14"/>
      <c r="DJ26" s="14"/>
      <c r="DK26" s="14"/>
      <c r="DL26" s="14"/>
      <c r="DM26" s="14"/>
      <c r="DN26" s="14"/>
      <c r="DO26" s="14"/>
      <c r="DP26" s="14"/>
      <c r="DQ26" s="14"/>
      <c r="DR26" s="14"/>
      <c r="DS26" s="14"/>
      <c r="DT26" s="14"/>
      <c r="DU26" s="14"/>
      <c r="DV26" s="14"/>
      <c r="DW26" s="14"/>
      <c r="DX26" s="14"/>
      <c r="DY26" s="14"/>
      <c r="DZ26" s="14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6"/>
      <c r="EV26" s="16"/>
      <c r="EW26" s="16"/>
      <c r="EX26" s="16"/>
      <c r="EY26" s="16"/>
      <c r="EZ26" s="16"/>
      <c r="FA26" s="16"/>
      <c r="FB26" s="16"/>
      <c r="FC26" s="16"/>
      <c r="FD26" s="16"/>
      <c r="FE26" s="16"/>
      <c r="FF26" s="16"/>
      <c r="FG26" s="16"/>
      <c r="FH26" s="16"/>
      <c r="FI26" s="16"/>
      <c r="FJ26" s="16"/>
      <c r="FK26" s="16"/>
      <c r="FL26" s="16"/>
      <c r="FM26" s="16"/>
      <c r="FN26" s="16"/>
      <c r="FO26" s="17"/>
      <c r="FP26" s="17"/>
      <c r="FQ26" s="17"/>
      <c r="FR26" s="17"/>
      <c r="FS26" s="17"/>
      <c r="FT26" s="17"/>
      <c r="FU26" s="17"/>
      <c r="FV26" s="17"/>
      <c r="FW26" s="17"/>
      <c r="FX26" s="17"/>
      <c r="FY26" s="17"/>
      <c r="FZ26" s="17"/>
      <c r="GA26" s="17"/>
      <c r="GB26" s="17"/>
      <c r="GC26" s="17"/>
      <c r="GD26" s="13"/>
      <c r="GE26" s="13"/>
      <c r="GF26" s="13"/>
      <c r="GG26" s="13"/>
      <c r="GH26" s="13"/>
      <c r="GI26" s="13"/>
      <c r="GJ26" s="13"/>
      <c r="GK26" s="13"/>
    </row>
    <row r="27" spans="1:193" ht="18" customHeight="1">
      <c r="A27" s="18" t="str">
        <f t="shared" si="0"/>
        <v/>
      </c>
      <c r="B27" s="19"/>
      <c r="C27" s="20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20"/>
      <c r="EQ27" s="20"/>
      <c r="ER27" s="20"/>
      <c r="ES27" s="20"/>
      <c r="ET27" s="20"/>
      <c r="EU27" s="20"/>
      <c r="EV27" s="20"/>
      <c r="EW27" s="20"/>
      <c r="EX27" s="20"/>
      <c r="EY27" s="20"/>
      <c r="EZ27" s="20"/>
      <c r="FA27" s="20"/>
      <c r="FB27" s="20"/>
      <c r="FC27" s="20"/>
      <c r="FD27" s="20"/>
      <c r="FE27" s="20"/>
      <c r="FF27" s="20"/>
      <c r="FG27" s="20"/>
      <c r="FH27" s="20"/>
      <c r="FI27" s="20"/>
      <c r="FJ27" s="20"/>
      <c r="FK27" s="20"/>
      <c r="FL27" s="20"/>
      <c r="FM27" s="20"/>
      <c r="FN27" s="20"/>
      <c r="FO27" s="20"/>
      <c r="FP27" s="20"/>
      <c r="FQ27" s="20"/>
      <c r="FR27" s="20"/>
      <c r="FS27" s="20"/>
      <c r="FT27" s="20"/>
      <c r="FU27" s="20"/>
      <c r="FV27" s="20"/>
      <c r="FW27" s="20"/>
      <c r="FX27" s="20"/>
      <c r="FY27" s="20"/>
      <c r="FZ27" s="20"/>
      <c r="GA27" s="20"/>
      <c r="GB27" s="20"/>
      <c r="GC27" s="20"/>
      <c r="GD27" s="20"/>
      <c r="GE27" s="20"/>
      <c r="GF27" s="20"/>
      <c r="GG27" s="20"/>
      <c r="GH27" s="20"/>
      <c r="GI27" s="20"/>
      <c r="GJ27" s="20"/>
      <c r="GK27" s="20"/>
    </row>
    <row r="28" spans="1:193" ht="18" customHeight="1">
      <c r="A28" s="9" t="str">
        <f t="shared" si="0"/>
        <v/>
      </c>
      <c r="B28" s="10"/>
      <c r="C28" s="11"/>
      <c r="D28" s="10"/>
      <c r="E28" s="11"/>
      <c r="F28" s="11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4"/>
      <c r="DH28" s="14"/>
      <c r="DI28" s="14"/>
      <c r="DJ28" s="14"/>
      <c r="DK28" s="14"/>
      <c r="DL28" s="14"/>
      <c r="DM28" s="14"/>
      <c r="DN28" s="14"/>
      <c r="DO28" s="14"/>
      <c r="DP28" s="14"/>
      <c r="DQ28" s="14"/>
      <c r="DR28" s="14"/>
      <c r="DS28" s="14"/>
      <c r="DT28" s="14"/>
      <c r="DU28" s="14"/>
      <c r="DV28" s="14"/>
      <c r="DW28" s="14"/>
      <c r="DX28" s="14"/>
      <c r="DY28" s="14"/>
      <c r="DZ28" s="14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6"/>
      <c r="EV28" s="16"/>
      <c r="EW28" s="16"/>
      <c r="EX28" s="16"/>
      <c r="EY28" s="16"/>
      <c r="EZ28" s="16"/>
      <c r="FA28" s="16"/>
      <c r="FB28" s="16"/>
      <c r="FC28" s="16"/>
      <c r="FD28" s="16"/>
      <c r="FE28" s="16"/>
      <c r="FF28" s="16"/>
      <c r="FG28" s="16"/>
      <c r="FH28" s="16"/>
      <c r="FI28" s="16"/>
      <c r="FJ28" s="16"/>
      <c r="FK28" s="16"/>
      <c r="FL28" s="16"/>
      <c r="FM28" s="16"/>
      <c r="FN28" s="16"/>
      <c r="FO28" s="17"/>
      <c r="FP28" s="17"/>
      <c r="FQ28" s="17"/>
      <c r="FR28" s="17"/>
      <c r="FS28" s="17"/>
      <c r="FT28" s="17"/>
      <c r="FU28" s="17"/>
      <c r="FV28" s="17"/>
      <c r="FW28" s="17"/>
      <c r="FX28" s="17"/>
      <c r="FY28" s="17"/>
      <c r="FZ28" s="17"/>
      <c r="GA28" s="17"/>
      <c r="GB28" s="17"/>
      <c r="GC28" s="17"/>
      <c r="GD28" s="13"/>
      <c r="GE28" s="13"/>
      <c r="GF28" s="13"/>
      <c r="GG28" s="13"/>
      <c r="GH28" s="13"/>
      <c r="GI28" s="13"/>
      <c r="GJ28" s="13"/>
      <c r="GK28" s="13"/>
    </row>
    <row r="29" spans="1:193" ht="18" customHeight="1">
      <c r="A29" s="18" t="str">
        <f t="shared" si="0"/>
        <v/>
      </c>
      <c r="B29" s="19"/>
      <c r="C29" s="20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20"/>
      <c r="EQ29" s="20"/>
      <c r="ER29" s="20"/>
      <c r="ES29" s="20"/>
      <c r="ET29" s="20"/>
      <c r="EU29" s="20"/>
      <c r="EV29" s="20"/>
      <c r="EW29" s="20"/>
      <c r="EX29" s="20"/>
      <c r="EY29" s="20"/>
      <c r="EZ29" s="20"/>
      <c r="FA29" s="20"/>
      <c r="FB29" s="20"/>
      <c r="FC29" s="20"/>
      <c r="FD29" s="20"/>
      <c r="FE29" s="20"/>
      <c r="FF29" s="20"/>
      <c r="FG29" s="20"/>
      <c r="FH29" s="20"/>
      <c r="FI29" s="20"/>
      <c r="FJ29" s="20"/>
      <c r="FK29" s="20"/>
      <c r="FL29" s="20"/>
      <c r="FM29" s="20"/>
      <c r="FN29" s="20"/>
      <c r="FO29" s="20"/>
      <c r="FP29" s="20"/>
      <c r="FQ29" s="20"/>
      <c r="FR29" s="20"/>
      <c r="FS29" s="20"/>
      <c r="FT29" s="20"/>
      <c r="FU29" s="20"/>
      <c r="FV29" s="20"/>
      <c r="FW29" s="20"/>
      <c r="FX29" s="20"/>
      <c r="FY29" s="20"/>
      <c r="FZ29" s="20"/>
      <c r="GA29" s="20"/>
      <c r="GB29" s="20"/>
      <c r="GC29" s="20"/>
      <c r="GD29" s="20"/>
      <c r="GE29" s="20"/>
      <c r="GF29" s="20"/>
      <c r="GG29" s="20"/>
      <c r="GH29" s="20"/>
      <c r="GI29" s="20"/>
      <c r="GJ29" s="20"/>
      <c r="GK29" s="20"/>
    </row>
    <row r="30" spans="1:193" ht="18" customHeight="1">
      <c r="A30" s="9" t="str">
        <f t="shared" si="0"/>
        <v/>
      </c>
      <c r="B30" s="10"/>
      <c r="C30" s="11"/>
      <c r="D30" s="10"/>
      <c r="E30" s="11"/>
      <c r="F30" s="11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  <c r="DF30" s="15"/>
      <c r="DG30" s="14"/>
      <c r="DH30" s="14"/>
      <c r="DI30" s="14"/>
      <c r="DJ30" s="14"/>
      <c r="DK30" s="14"/>
      <c r="DL30" s="14"/>
      <c r="DM30" s="14"/>
      <c r="DN30" s="14"/>
      <c r="DO30" s="14"/>
      <c r="DP30" s="14"/>
      <c r="DQ30" s="14"/>
      <c r="DR30" s="14"/>
      <c r="DS30" s="14"/>
      <c r="DT30" s="14"/>
      <c r="DU30" s="14"/>
      <c r="DV30" s="14"/>
      <c r="DW30" s="14"/>
      <c r="DX30" s="14"/>
      <c r="DY30" s="14"/>
      <c r="DZ30" s="14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6"/>
      <c r="EV30" s="16"/>
      <c r="EW30" s="16"/>
      <c r="EX30" s="16"/>
      <c r="EY30" s="16"/>
      <c r="EZ30" s="16"/>
      <c r="FA30" s="16"/>
      <c r="FB30" s="16"/>
      <c r="FC30" s="16"/>
      <c r="FD30" s="16"/>
      <c r="FE30" s="16"/>
      <c r="FF30" s="16"/>
      <c r="FG30" s="16"/>
      <c r="FH30" s="16"/>
      <c r="FI30" s="16"/>
      <c r="FJ30" s="16"/>
      <c r="FK30" s="16"/>
      <c r="FL30" s="16"/>
      <c r="FM30" s="16"/>
      <c r="FN30" s="16"/>
      <c r="FO30" s="17"/>
      <c r="FP30" s="17"/>
      <c r="FQ30" s="17"/>
      <c r="FR30" s="17"/>
      <c r="FS30" s="17"/>
      <c r="FT30" s="17"/>
      <c r="FU30" s="17"/>
      <c r="FV30" s="17"/>
      <c r="FW30" s="17"/>
      <c r="FX30" s="17"/>
      <c r="FY30" s="17"/>
      <c r="FZ30" s="17"/>
      <c r="GA30" s="17"/>
      <c r="GB30" s="17"/>
      <c r="GC30" s="17"/>
      <c r="GD30" s="13"/>
      <c r="GE30" s="13"/>
      <c r="GF30" s="13"/>
      <c r="GG30" s="13"/>
      <c r="GH30" s="13"/>
      <c r="GI30" s="13"/>
      <c r="GJ30" s="13"/>
      <c r="GK30" s="13"/>
    </row>
    <row r="31" spans="1:193" ht="18" customHeight="1">
      <c r="A31" s="18" t="str">
        <f t="shared" si="0"/>
        <v/>
      </c>
      <c r="B31" s="19"/>
      <c r="C31" s="20"/>
      <c r="D31" s="19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20"/>
      <c r="EQ31" s="20"/>
      <c r="ER31" s="20"/>
      <c r="ES31" s="20"/>
      <c r="ET31" s="20"/>
      <c r="EU31" s="20"/>
      <c r="EV31" s="20"/>
      <c r="EW31" s="20"/>
      <c r="EX31" s="20"/>
      <c r="EY31" s="20"/>
      <c r="EZ31" s="20"/>
      <c r="FA31" s="20"/>
      <c r="FB31" s="20"/>
      <c r="FC31" s="20"/>
      <c r="FD31" s="20"/>
      <c r="FE31" s="20"/>
      <c r="FF31" s="20"/>
      <c r="FG31" s="20"/>
      <c r="FH31" s="20"/>
      <c r="FI31" s="20"/>
      <c r="FJ31" s="20"/>
      <c r="FK31" s="20"/>
      <c r="FL31" s="20"/>
      <c r="FM31" s="20"/>
      <c r="FN31" s="20"/>
      <c r="FO31" s="20"/>
      <c r="FP31" s="20"/>
      <c r="FQ31" s="20"/>
      <c r="FR31" s="20"/>
      <c r="FS31" s="20"/>
      <c r="FT31" s="20"/>
      <c r="FU31" s="20"/>
      <c r="FV31" s="20"/>
      <c r="FW31" s="20"/>
      <c r="FX31" s="20"/>
      <c r="FY31" s="20"/>
      <c r="FZ31" s="20"/>
      <c r="GA31" s="20"/>
      <c r="GB31" s="20"/>
      <c r="GC31" s="20"/>
      <c r="GD31" s="20"/>
      <c r="GE31" s="20"/>
      <c r="GF31" s="20"/>
      <c r="GG31" s="20"/>
      <c r="GH31" s="20"/>
      <c r="GI31" s="20"/>
      <c r="GJ31" s="20"/>
      <c r="GK31" s="20"/>
    </row>
    <row r="32" spans="1:193" ht="18" customHeight="1">
      <c r="A32" s="9" t="str">
        <f t="shared" si="0"/>
        <v/>
      </c>
      <c r="B32" s="10"/>
      <c r="C32" s="11"/>
      <c r="D32" s="10"/>
      <c r="E32" s="11"/>
      <c r="F32" s="11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15"/>
      <c r="DG32" s="14"/>
      <c r="DH32" s="14"/>
      <c r="DI32" s="14"/>
      <c r="DJ32" s="14"/>
      <c r="DK32" s="14"/>
      <c r="DL32" s="14"/>
      <c r="DM32" s="14"/>
      <c r="DN32" s="14"/>
      <c r="DO32" s="14"/>
      <c r="DP32" s="14"/>
      <c r="DQ32" s="14"/>
      <c r="DR32" s="14"/>
      <c r="DS32" s="14"/>
      <c r="DT32" s="14"/>
      <c r="DU32" s="14"/>
      <c r="DV32" s="14"/>
      <c r="DW32" s="14"/>
      <c r="DX32" s="14"/>
      <c r="DY32" s="14"/>
      <c r="DZ32" s="14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6"/>
      <c r="EV32" s="16"/>
      <c r="EW32" s="16"/>
      <c r="EX32" s="16"/>
      <c r="EY32" s="16"/>
      <c r="EZ32" s="16"/>
      <c r="FA32" s="16"/>
      <c r="FB32" s="16"/>
      <c r="FC32" s="16"/>
      <c r="FD32" s="16"/>
      <c r="FE32" s="16"/>
      <c r="FF32" s="16"/>
      <c r="FG32" s="16"/>
      <c r="FH32" s="16"/>
      <c r="FI32" s="16"/>
      <c r="FJ32" s="16"/>
      <c r="FK32" s="16"/>
      <c r="FL32" s="16"/>
      <c r="FM32" s="16"/>
      <c r="FN32" s="16"/>
      <c r="FO32" s="17"/>
      <c r="FP32" s="17"/>
      <c r="FQ32" s="17"/>
      <c r="FR32" s="17"/>
      <c r="FS32" s="17"/>
      <c r="FT32" s="17"/>
      <c r="FU32" s="17"/>
      <c r="FV32" s="17"/>
      <c r="FW32" s="17"/>
      <c r="FX32" s="17"/>
      <c r="FY32" s="17"/>
      <c r="FZ32" s="17"/>
      <c r="GA32" s="17"/>
      <c r="GB32" s="17"/>
      <c r="GC32" s="17"/>
      <c r="GD32" s="13"/>
      <c r="GE32" s="13"/>
      <c r="GF32" s="13"/>
      <c r="GG32" s="13"/>
      <c r="GH32" s="13"/>
      <c r="GI32" s="13"/>
      <c r="GJ32" s="13"/>
      <c r="GK32" s="13"/>
    </row>
    <row r="33" spans="1:193" ht="18" customHeight="1">
      <c r="A33" s="18" t="str">
        <f t="shared" si="0"/>
        <v/>
      </c>
      <c r="B33" s="19"/>
      <c r="C33" s="20"/>
      <c r="D33" s="19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20"/>
      <c r="EQ33" s="20"/>
      <c r="ER33" s="20"/>
      <c r="ES33" s="20"/>
      <c r="ET33" s="20"/>
      <c r="EU33" s="20"/>
      <c r="EV33" s="20"/>
      <c r="EW33" s="20"/>
      <c r="EX33" s="20"/>
      <c r="EY33" s="20"/>
      <c r="EZ33" s="20"/>
      <c r="FA33" s="20"/>
      <c r="FB33" s="20"/>
      <c r="FC33" s="20"/>
      <c r="FD33" s="20"/>
      <c r="FE33" s="20"/>
      <c r="FF33" s="20"/>
      <c r="FG33" s="20"/>
      <c r="FH33" s="20"/>
      <c r="FI33" s="20"/>
      <c r="FJ33" s="20"/>
      <c r="FK33" s="20"/>
      <c r="FL33" s="20"/>
      <c r="FM33" s="20"/>
      <c r="FN33" s="20"/>
      <c r="FO33" s="20"/>
      <c r="FP33" s="20"/>
      <c r="FQ33" s="20"/>
      <c r="FR33" s="20"/>
      <c r="FS33" s="20"/>
      <c r="FT33" s="20"/>
      <c r="FU33" s="20"/>
      <c r="FV33" s="20"/>
      <c r="FW33" s="20"/>
      <c r="FX33" s="20"/>
      <c r="FY33" s="20"/>
      <c r="FZ33" s="20"/>
      <c r="GA33" s="20"/>
      <c r="GB33" s="20"/>
      <c r="GC33" s="20"/>
      <c r="GD33" s="20"/>
      <c r="GE33" s="20"/>
      <c r="GF33" s="20"/>
      <c r="GG33" s="20"/>
      <c r="GH33" s="20"/>
      <c r="GI33" s="20"/>
      <c r="GJ33" s="20"/>
      <c r="GK33" s="20"/>
    </row>
    <row r="34" spans="1:193" ht="18" customHeight="1">
      <c r="A34" s="9" t="str">
        <f t="shared" si="0"/>
        <v/>
      </c>
      <c r="B34" s="10"/>
      <c r="C34" s="11"/>
      <c r="D34" s="10"/>
      <c r="E34" s="11"/>
      <c r="F34" s="11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15"/>
      <c r="DG34" s="14"/>
      <c r="DH34" s="14"/>
      <c r="DI34" s="14"/>
      <c r="DJ34" s="14"/>
      <c r="DK34" s="14"/>
      <c r="DL34" s="14"/>
      <c r="DM34" s="14"/>
      <c r="DN34" s="14"/>
      <c r="DO34" s="14"/>
      <c r="DP34" s="14"/>
      <c r="DQ34" s="14"/>
      <c r="DR34" s="14"/>
      <c r="DS34" s="14"/>
      <c r="DT34" s="14"/>
      <c r="DU34" s="14"/>
      <c r="DV34" s="14"/>
      <c r="DW34" s="14"/>
      <c r="DX34" s="14"/>
      <c r="DY34" s="14"/>
      <c r="DZ34" s="14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6"/>
      <c r="EV34" s="16"/>
      <c r="EW34" s="16"/>
      <c r="EX34" s="16"/>
      <c r="EY34" s="16"/>
      <c r="EZ34" s="16"/>
      <c r="FA34" s="16"/>
      <c r="FB34" s="16"/>
      <c r="FC34" s="16"/>
      <c r="FD34" s="16"/>
      <c r="FE34" s="16"/>
      <c r="FF34" s="16"/>
      <c r="FG34" s="16"/>
      <c r="FH34" s="16"/>
      <c r="FI34" s="16"/>
      <c r="FJ34" s="16"/>
      <c r="FK34" s="16"/>
      <c r="FL34" s="16"/>
      <c r="FM34" s="16"/>
      <c r="FN34" s="16"/>
      <c r="FO34" s="17"/>
      <c r="FP34" s="17"/>
      <c r="FQ34" s="17"/>
      <c r="FR34" s="17"/>
      <c r="FS34" s="17"/>
      <c r="FT34" s="17"/>
      <c r="FU34" s="17"/>
      <c r="FV34" s="17"/>
      <c r="FW34" s="17"/>
      <c r="FX34" s="17"/>
      <c r="FY34" s="17"/>
      <c r="FZ34" s="17"/>
      <c r="GA34" s="17"/>
      <c r="GB34" s="17"/>
      <c r="GC34" s="17"/>
      <c r="GD34" s="13"/>
      <c r="GE34" s="13"/>
      <c r="GF34" s="13"/>
      <c r="GG34" s="13"/>
      <c r="GH34" s="13"/>
      <c r="GI34" s="13"/>
      <c r="GJ34" s="13"/>
      <c r="GK34" s="13"/>
    </row>
    <row r="35" spans="1:193" ht="18" customHeight="1">
      <c r="A35" s="18" t="str">
        <f t="shared" si="0"/>
        <v/>
      </c>
      <c r="B35" s="19"/>
      <c r="C35" s="20"/>
      <c r="D35" s="19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20"/>
      <c r="EQ35" s="20"/>
      <c r="ER35" s="20"/>
      <c r="ES35" s="20"/>
      <c r="ET35" s="20"/>
      <c r="EU35" s="20"/>
      <c r="EV35" s="20"/>
      <c r="EW35" s="20"/>
      <c r="EX35" s="20"/>
      <c r="EY35" s="20"/>
      <c r="EZ35" s="20"/>
      <c r="FA35" s="20"/>
      <c r="FB35" s="20"/>
      <c r="FC35" s="20"/>
      <c r="FD35" s="20"/>
      <c r="FE35" s="20"/>
      <c r="FF35" s="20"/>
      <c r="FG35" s="20"/>
      <c r="FH35" s="20"/>
      <c r="FI35" s="20"/>
      <c r="FJ35" s="20"/>
      <c r="FK35" s="20"/>
      <c r="FL35" s="20"/>
      <c r="FM35" s="20"/>
      <c r="FN35" s="20"/>
      <c r="FO35" s="20"/>
      <c r="FP35" s="20"/>
      <c r="FQ35" s="20"/>
      <c r="FR35" s="20"/>
      <c r="FS35" s="20"/>
      <c r="FT35" s="20"/>
      <c r="FU35" s="20"/>
      <c r="FV35" s="20"/>
      <c r="FW35" s="20"/>
      <c r="FX35" s="20"/>
      <c r="FY35" s="20"/>
      <c r="FZ35" s="20"/>
      <c r="GA35" s="20"/>
      <c r="GB35" s="20"/>
      <c r="GC35" s="20"/>
      <c r="GD35" s="20"/>
      <c r="GE35" s="20"/>
      <c r="GF35" s="20"/>
      <c r="GG35" s="20"/>
      <c r="GH35" s="20"/>
      <c r="GI35" s="20"/>
      <c r="GJ35" s="20"/>
      <c r="GK35" s="20"/>
    </row>
    <row r="36" spans="1:193" ht="18" customHeight="1">
      <c r="A36" s="9" t="str">
        <f t="shared" si="0"/>
        <v/>
      </c>
      <c r="B36" s="10"/>
      <c r="C36" s="11"/>
      <c r="D36" s="10"/>
      <c r="E36" s="11"/>
      <c r="F36" s="11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  <c r="DF36" s="15"/>
      <c r="DG36" s="14"/>
      <c r="DH36" s="14"/>
      <c r="DI36" s="14"/>
      <c r="DJ36" s="14"/>
      <c r="DK36" s="14"/>
      <c r="DL36" s="14"/>
      <c r="DM36" s="14"/>
      <c r="DN36" s="14"/>
      <c r="DO36" s="14"/>
      <c r="DP36" s="14"/>
      <c r="DQ36" s="14"/>
      <c r="DR36" s="14"/>
      <c r="DS36" s="14"/>
      <c r="DT36" s="14"/>
      <c r="DU36" s="14"/>
      <c r="DV36" s="14"/>
      <c r="DW36" s="14"/>
      <c r="DX36" s="14"/>
      <c r="DY36" s="14"/>
      <c r="DZ36" s="14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6"/>
      <c r="EV36" s="16"/>
      <c r="EW36" s="16"/>
      <c r="EX36" s="16"/>
      <c r="EY36" s="16"/>
      <c r="EZ36" s="16"/>
      <c r="FA36" s="16"/>
      <c r="FB36" s="16"/>
      <c r="FC36" s="16"/>
      <c r="FD36" s="16"/>
      <c r="FE36" s="16"/>
      <c r="FF36" s="16"/>
      <c r="FG36" s="16"/>
      <c r="FH36" s="16"/>
      <c r="FI36" s="16"/>
      <c r="FJ36" s="16"/>
      <c r="FK36" s="16"/>
      <c r="FL36" s="16"/>
      <c r="FM36" s="16"/>
      <c r="FN36" s="16"/>
      <c r="FO36" s="17"/>
      <c r="FP36" s="17"/>
      <c r="FQ36" s="17"/>
      <c r="FR36" s="17"/>
      <c r="FS36" s="17"/>
      <c r="FT36" s="17"/>
      <c r="FU36" s="17"/>
      <c r="FV36" s="17"/>
      <c r="FW36" s="17"/>
      <c r="FX36" s="17"/>
      <c r="FY36" s="17"/>
      <c r="FZ36" s="17"/>
      <c r="GA36" s="17"/>
      <c r="GB36" s="17"/>
      <c r="GC36" s="17"/>
      <c r="GD36" s="13"/>
      <c r="GE36" s="13"/>
      <c r="GF36" s="13"/>
      <c r="GG36" s="13"/>
      <c r="GH36" s="13"/>
      <c r="GI36" s="13"/>
      <c r="GJ36" s="13"/>
      <c r="GK36" s="13"/>
    </row>
    <row r="37" spans="1:193" ht="18" customHeight="1">
      <c r="A37" s="18" t="str">
        <f t="shared" si="0"/>
        <v/>
      </c>
      <c r="B37" s="19"/>
      <c r="C37" s="20"/>
      <c r="D37" s="19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20"/>
      <c r="EQ37" s="20"/>
      <c r="ER37" s="20"/>
      <c r="ES37" s="20"/>
      <c r="ET37" s="20"/>
      <c r="EU37" s="20"/>
      <c r="EV37" s="20"/>
      <c r="EW37" s="20"/>
      <c r="EX37" s="20"/>
      <c r="EY37" s="20"/>
      <c r="EZ37" s="20"/>
      <c r="FA37" s="20"/>
      <c r="FB37" s="20"/>
      <c r="FC37" s="20"/>
      <c r="FD37" s="20"/>
      <c r="FE37" s="20"/>
      <c r="FF37" s="20"/>
      <c r="FG37" s="20"/>
      <c r="FH37" s="20"/>
      <c r="FI37" s="20"/>
      <c r="FJ37" s="20"/>
      <c r="FK37" s="20"/>
      <c r="FL37" s="20"/>
      <c r="FM37" s="20"/>
      <c r="FN37" s="20"/>
      <c r="FO37" s="20"/>
      <c r="FP37" s="20"/>
      <c r="FQ37" s="20"/>
      <c r="FR37" s="20"/>
      <c r="FS37" s="20"/>
      <c r="FT37" s="20"/>
      <c r="FU37" s="20"/>
      <c r="FV37" s="20"/>
      <c r="FW37" s="20"/>
      <c r="FX37" s="20"/>
      <c r="FY37" s="20"/>
      <c r="FZ37" s="20"/>
      <c r="GA37" s="20"/>
      <c r="GB37" s="20"/>
      <c r="GC37" s="20"/>
      <c r="GD37" s="20"/>
      <c r="GE37" s="20"/>
      <c r="GF37" s="20"/>
      <c r="GG37" s="20"/>
      <c r="GH37" s="20"/>
      <c r="GI37" s="20"/>
      <c r="GJ37" s="20"/>
      <c r="GK37" s="20"/>
    </row>
    <row r="38" spans="1:193" ht="18" customHeight="1">
      <c r="A38" s="9" t="str">
        <f t="shared" ref="A38:A69" si="1">IF(B38&lt;&gt;"","OBS-"&amp;TEXT(ROW()-5,"000"),"")</f>
        <v/>
      </c>
      <c r="B38" s="10"/>
      <c r="C38" s="11"/>
      <c r="D38" s="10"/>
      <c r="E38" s="11"/>
      <c r="F38" s="11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  <c r="DF38" s="15"/>
      <c r="DG38" s="14"/>
      <c r="DH38" s="14"/>
      <c r="DI38" s="14"/>
      <c r="DJ38" s="14"/>
      <c r="DK38" s="14"/>
      <c r="DL38" s="14"/>
      <c r="DM38" s="14"/>
      <c r="DN38" s="14"/>
      <c r="DO38" s="14"/>
      <c r="DP38" s="14"/>
      <c r="DQ38" s="14"/>
      <c r="DR38" s="14"/>
      <c r="DS38" s="14"/>
      <c r="DT38" s="14"/>
      <c r="DU38" s="14"/>
      <c r="DV38" s="14"/>
      <c r="DW38" s="14"/>
      <c r="DX38" s="14"/>
      <c r="DY38" s="14"/>
      <c r="DZ38" s="14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6"/>
      <c r="EV38" s="16"/>
      <c r="EW38" s="16"/>
      <c r="EX38" s="16"/>
      <c r="EY38" s="16"/>
      <c r="EZ38" s="16"/>
      <c r="FA38" s="16"/>
      <c r="FB38" s="16"/>
      <c r="FC38" s="16"/>
      <c r="FD38" s="16"/>
      <c r="FE38" s="16"/>
      <c r="FF38" s="16"/>
      <c r="FG38" s="16"/>
      <c r="FH38" s="16"/>
      <c r="FI38" s="16"/>
      <c r="FJ38" s="16"/>
      <c r="FK38" s="16"/>
      <c r="FL38" s="16"/>
      <c r="FM38" s="16"/>
      <c r="FN38" s="16"/>
      <c r="FO38" s="17"/>
      <c r="FP38" s="17"/>
      <c r="FQ38" s="17"/>
      <c r="FR38" s="17"/>
      <c r="FS38" s="17"/>
      <c r="FT38" s="17"/>
      <c r="FU38" s="17"/>
      <c r="FV38" s="17"/>
      <c r="FW38" s="17"/>
      <c r="FX38" s="17"/>
      <c r="FY38" s="17"/>
      <c r="FZ38" s="17"/>
      <c r="GA38" s="17"/>
      <c r="GB38" s="17"/>
      <c r="GC38" s="17"/>
      <c r="GD38" s="13"/>
      <c r="GE38" s="13"/>
      <c r="GF38" s="13"/>
      <c r="GG38" s="13"/>
      <c r="GH38" s="13"/>
      <c r="GI38" s="13"/>
      <c r="GJ38" s="13"/>
      <c r="GK38" s="13"/>
    </row>
    <row r="39" spans="1:193" ht="18" customHeight="1">
      <c r="A39" s="18" t="str">
        <f t="shared" si="1"/>
        <v/>
      </c>
      <c r="B39" s="19"/>
      <c r="C39" s="20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20"/>
      <c r="EQ39" s="20"/>
      <c r="ER39" s="20"/>
      <c r="ES39" s="20"/>
      <c r="ET39" s="20"/>
      <c r="EU39" s="20"/>
      <c r="EV39" s="20"/>
      <c r="EW39" s="20"/>
      <c r="EX39" s="20"/>
      <c r="EY39" s="20"/>
      <c r="EZ39" s="20"/>
      <c r="FA39" s="20"/>
      <c r="FB39" s="20"/>
      <c r="FC39" s="20"/>
      <c r="FD39" s="20"/>
      <c r="FE39" s="20"/>
      <c r="FF39" s="20"/>
      <c r="FG39" s="20"/>
      <c r="FH39" s="20"/>
      <c r="FI39" s="20"/>
      <c r="FJ39" s="20"/>
      <c r="FK39" s="20"/>
      <c r="FL39" s="20"/>
      <c r="FM39" s="20"/>
      <c r="FN39" s="20"/>
      <c r="FO39" s="20"/>
      <c r="FP39" s="20"/>
      <c r="FQ39" s="20"/>
      <c r="FR39" s="20"/>
      <c r="FS39" s="20"/>
      <c r="FT39" s="20"/>
      <c r="FU39" s="20"/>
      <c r="FV39" s="20"/>
      <c r="FW39" s="20"/>
      <c r="FX39" s="20"/>
      <c r="FY39" s="20"/>
      <c r="FZ39" s="20"/>
      <c r="GA39" s="20"/>
      <c r="GB39" s="20"/>
      <c r="GC39" s="20"/>
      <c r="GD39" s="20"/>
      <c r="GE39" s="20"/>
      <c r="GF39" s="20"/>
      <c r="GG39" s="20"/>
      <c r="GH39" s="20"/>
      <c r="GI39" s="20"/>
      <c r="GJ39" s="20"/>
      <c r="GK39" s="20"/>
    </row>
    <row r="40" spans="1:193" ht="18" customHeight="1">
      <c r="A40" s="9" t="str">
        <f t="shared" si="1"/>
        <v/>
      </c>
      <c r="B40" s="10"/>
      <c r="C40" s="11"/>
      <c r="D40" s="10"/>
      <c r="E40" s="11"/>
      <c r="F40" s="11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5"/>
      <c r="DG40" s="14"/>
      <c r="DH40" s="14"/>
      <c r="DI40" s="14"/>
      <c r="DJ40" s="14"/>
      <c r="DK40" s="14"/>
      <c r="DL40" s="14"/>
      <c r="DM40" s="14"/>
      <c r="DN40" s="14"/>
      <c r="DO40" s="14"/>
      <c r="DP40" s="14"/>
      <c r="DQ40" s="14"/>
      <c r="DR40" s="14"/>
      <c r="DS40" s="14"/>
      <c r="DT40" s="14"/>
      <c r="DU40" s="14"/>
      <c r="DV40" s="14"/>
      <c r="DW40" s="14"/>
      <c r="DX40" s="14"/>
      <c r="DY40" s="14"/>
      <c r="DZ40" s="14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6"/>
      <c r="EV40" s="16"/>
      <c r="EW40" s="16"/>
      <c r="EX40" s="16"/>
      <c r="EY40" s="16"/>
      <c r="EZ40" s="16"/>
      <c r="FA40" s="16"/>
      <c r="FB40" s="16"/>
      <c r="FC40" s="16"/>
      <c r="FD40" s="16"/>
      <c r="FE40" s="16"/>
      <c r="FF40" s="16"/>
      <c r="FG40" s="16"/>
      <c r="FH40" s="16"/>
      <c r="FI40" s="16"/>
      <c r="FJ40" s="16"/>
      <c r="FK40" s="16"/>
      <c r="FL40" s="16"/>
      <c r="FM40" s="16"/>
      <c r="FN40" s="16"/>
      <c r="FO40" s="17"/>
      <c r="FP40" s="17"/>
      <c r="FQ40" s="17"/>
      <c r="FR40" s="17"/>
      <c r="FS40" s="17"/>
      <c r="FT40" s="17"/>
      <c r="FU40" s="17"/>
      <c r="FV40" s="17"/>
      <c r="FW40" s="17"/>
      <c r="FX40" s="17"/>
      <c r="FY40" s="17"/>
      <c r="FZ40" s="17"/>
      <c r="GA40" s="17"/>
      <c r="GB40" s="17"/>
      <c r="GC40" s="17"/>
      <c r="GD40" s="13"/>
      <c r="GE40" s="13"/>
      <c r="GF40" s="13"/>
      <c r="GG40" s="13"/>
      <c r="GH40" s="13"/>
      <c r="GI40" s="13"/>
      <c r="GJ40" s="13"/>
      <c r="GK40" s="13"/>
    </row>
    <row r="41" spans="1:193" ht="18" customHeight="1">
      <c r="A41" s="18" t="str">
        <f t="shared" si="1"/>
        <v/>
      </c>
      <c r="B41" s="19"/>
      <c r="C41" s="20"/>
      <c r="D41" s="19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20"/>
      <c r="EQ41" s="20"/>
      <c r="ER41" s="20"/>
      <c r="ES41" s="20"/>
      <c r="ET41" s="20"/>
      <c r="EU41" s="20"/>
      <c r="EV41" s="20"/>
      <c r="EW41" s="20"/>
      <c r="EX41" s="20"/>
      <c r="EY41" s="20"/>
      <c r="EZ41" s="20"/>
      <c r="FA41" s="20"/>
      <c r="FB41" s="20"/>
      <c r="FC41" s="20"/>
      <c r="FD41" s="20"/>
      <c r="FE41" s="20"/>
      <c r="FF41" s="20"/>
      <c r="FG41" s="20"/>
      <c r="FH41" s="20"/>
      <c r="FI41" s="20"/>
      <c r="FJ41" s="20"/>
      <c r="FK41" s="20"/>
      <c r="FL41" s="20"/>
      <c r="FM41" s="20"/>
      <c r="FN41" s="20"/>
      <c r="FO41" s="20"/>
      <c r="FP41" s="20"/>
      <c r="FQ41" s="20"/>
      <c r="FR41" s="20"/>
      <c r="FS41" s="20"/>
      <c r="FT41" s="20"/>
      <c r="FU41" s="20"/>
      <c r="FV41" s="20"/>
      <c r="FW41" s="20"/>
      <c r="FX41" s="20"/>
      <c r="FY41" s="20"/>
      <c r="FZ41" s="20"/>
      <c r="GA41" s="20"/>
      <c r="GB41" s="20"/>
      <c r="GC41" s="20"/>
      <c r="GD41" s="20"/>
      <c r="GE41" s="20"/>
      <c r="GF41" s="20"/>
      <c r="GG41" s="20"/>
      <c r="GH41" s="20"/>
      <c r="GI41" s="20"/>
      <c r="GJ41" s="20"/>
      <c r="GK41" s="20"/>
    </row>
    <row r="42" spans="1:193" ht="18" customHeight="1">
      <c r="A42" s="9" t="str">
        <f t="shared" si="1"/>
        <v/>
      </c>
      <c r="B42" s="10"/>
      <c r="C42" s="11"/>
      <c r="D42" s="10"/>
      <c r="E42" s="11"/>
      <c r="F42" s="11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5"/>
      <c r="DF42" s="15"/>
      <c r="DG42" s="14"/>
      <c r="DH42" s="14"/>
      <c r="DI42" s="14"/>
      <c r="DJ42" s="14"/>
      <c r="DK42" s="14"/>
      <c r="DL42" s="14"/>
      <c r="DM42" s="14"/>
      <c r="DN42" s="14"/>
      <c r="DO42" s="14"/>
      <c r="DP42" s="14"/>
      <c r="DQ42" s="14"/>
      <c r="DR42" s="14"/>
      <c r="DS42" s="14"/>
      <c r="DT42" s="14"/>
      <c r="DU42" s="14"/>
      <c r="DV42" s="14"/>
      <c r="DW42" s="14"/>
      <c r="DX42" s="14"/>
      <c r="DY42" s="14"/>
      <c r="DZ42" s="14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6"/>
      <c r="EV42" s="16"/>
      <c r="EW42" s="16"/>
      <c r="EX42" s="16"/>
      <c r="EY42" s="16"/>
      <c r="EZ42" s="16"/>
      <c r="FA42" s="16"/>
      <c r="FB42" s="16"/>
      <c r="FC42" s="16"/>
      <c r="FD42" s="16"/>
      <c r="FE42" s="16"/>
      <c r="FF42" s="16"/>
      <c r="FG42" s="16"/>
      <c r="FH42" s="16"/>
      <c r="FI42" s="16"/>
      <c r="FJ42" s="16"/>
      <c r="FK42" s="16"/>
      <c r="FL42" s="16"/>
      <c r="FM42" s="16"/>
      <c r="FN42" s="16"/>
      <c r="FO42" s="17"/>
      <c r="FP42" s="17"/>
      <c r="FQ42" s="17"/>
      <c r="FR42" s="17"/>
      <c r="FS42" s="17"/>
      <c r="FT42" s="17"/>
      <c r="FU42" s="17"/>
      <c r="FV42" s="17"/>
      <c r="FW42" s="17"/>
      <c r="FX42" s="17"/>
      <c r="FY42" s="17"/>
      <c r="FZ42" s="17"/>
      <c r="GA42" s="17"/>
      <c r="GB42" s="17"/>
      <c r="GC42" s="17"/>
      <c r="GD42" s="13"/>
      <c r="GE42" s="13"/>
      <c r="GF42" s="13"/>
      <c r="GG42" s="13"/>
      <c r="GH42" s="13"/>
      <c r="GI42" s="13"/>
      <c r="GJ42" s="13"/>
      <c r="GK42" s="13"/>
    </row>
    <row r="43" spans="1:193" ht="18" customHeight="1">
      <c r="A43" s="18" t="str">
        <f t="shared" si="1"/>
        <v/>
      </c>
      <c r="B43" s="19"/>
      <c r="C43" s="20"/>
      <c r="D43" s="19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20"/>
      <c r="EQ43" s="20"/>
      <c r="ER43" s="20"/>
      <c r="ES43" s="20"/>
      <c r="ET43" s="20"/>
      <c r="EU43" s="20"/>
      <c r="EV43" s="20"/>
      <c r="EW43" s="20"/>
      <c r="EX43" s="20"/>
      <c r="EY43" s="20"/>
      <c r="EZ43" s="20"/>
      <c r="FA43" s="20"/>
      <c r="FB43" s="20"/>
      <c r="FC43" s="20"/>
      <c r="FD43" s="20"/>
      <c r="FE43" s="20"/>
      <c r="FF43" s="20"/>
      <c r="FG43" s="20"/>
      <c r="FH43" s="20"/>
      <c r="FI43" s="20"/>
      <c r="FJ43" s="20"/>
      <c r="FK43" s="20"/>
      <c r="FL43" s="20"/>
      <c r="FM43" s="20"/>
      <c r="FN43" s="20"/>
      <c r="FO43" s="20"/>
      <c r="FP43" s="20"/>
      <c r="FQ43" s="20"/>
      <c r="FR43" s="20"/>
      <c r="FS43" s="20"/>
      <c r="FT43" s="20"/>
      <c r="FU43" s="20"/>
      <c r="FV43" s="20"/>
      <c r="FW43" s="20"/>
      <c r="FX43" s="20"/>
      <c r="FY43" s="20"/>
      <c r="FZ43" s="20"/>
      <c r="GA43" s="20"/>
      <c r="GB43" s="20"/>
      <c r="GC43" s="20"/>
      <c r="GD43" s="20"/>
      <c r="GE43" s="20"/>
      <c r="GF43" s="20"/>
      <c r="GG43" s="20"/>
      <c r="GH43" s="20"/>
      <c r="GI43" s="20"/>
      <c r="GJ43" s="20"/>
      <c r="GK43" s="20"/>
    </row>
    <row r="44" spans="1:193" ht="18" customHeight="1">
      <c r="A44" s="9" t="str">
        <f t="shared" si="1"/>
        <v/>
      </c>
      <c r="B44" s="10"/>
      <c r="C44" s="11"/>
      <c r="D44" s="10"/>
      <c r="E44" s="11"/>
      <c r="F44" s="11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  <c r="DC44" s="15"/>
      <c r="DD44" s="15"/>
      <c r="DE44" s="15"/>
      <c r="DF44" s="15"/>
      <c r="DG44" s="14"/>
      <c r="DH44" s="14"/>
      <c r="DI44" s="14"/>
      <c r="DJ44" s="14"/>
      <c r="DK44" s="14"/>
      <c r="DL44" s="14"/>
      <c r="DM44" s="14"/>
      <c r="DN44" s="14"/>
      <c r="DO44" s="14"/>
      <c r="DP44" s="14"/>
      <c r="DQ44" s="14"/>
      <c r="DR44" s="14"/>
      <c r="DS44" s="14"/>
      <c r="DT44" s="14"/>
      <c r="DU44" s="14"/>
      <c r="DV44" s="14"/>
      <c r="DW44" s="14"/>
      <c r="DX44" s="14"/>
      <c r="DY44" s="14"/>
      <c r="DZ44" s="14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6"/>
      <c r="EV44" s="16"/>
      <c r="EW44" s="16"/>
      <c r="EX44" s="16"/>
      <c r="EY44" s="16"/>
      <c r="EZ44" s="16"/>
      <c r="FA44" s="16"/>
      <c r="FB44" s="16"/>
      <c r="FC44" s="16"/>
      <c r="FD44" s="16"/>
      <c r="FE44" s="16"/>
      <c r="FF44" s="16"/>
      <c r="FG44" s="16"/>
      <c r="FH44" s="16"/>
      <c r="FI44" s="16"/>
      <c r="FJ44" s="16"/>
      <c r="FK44" s="16"/>
      <c r="FL44" s="16"/>
      <c r="FM44" s="16"/>
      <c r="FN44" s="16"/>
      <c r="FO44" s="17"/>
      <c r="FP44" s="17"/>
      <c r="FQ44" s="17"/>
      <c r="FR44" s="17"/>
      <c r="FS44" s="17"/>
      <c r="FT44" s="17"/>
      <c r="FU44" s="17"/>
      <c r="FV44" s="17"/>
      <c r="FW44" s="17"/>
      <c r="FX44" s="17"/>
      <c r="FY44" s="17"/>
      <c r="FZ44" s="17"/>
      <c r="GA44" s="17"/>
      <c r="GB44" s="17"/>
      <c r="GC44" s="17"/>
      <c r="GD44" s="13"/>
      <c r="GE44" s="13"/>
      <c r="GF44" s="13"/>
      <c r="GG44" s="13"/>
      <c r="GH44" s="13"/>
      <c r="GI44" s="13"/>
      <c r="GJ44" s="13"/>
      <c r="GK44" s="13"/>
    </row>
    <row r="45" spans="1:193" ht="18" customHeight="1">
      <c r="A45" s="18" t="str">
        <f t="shared" si="1"/>
        <v/>
      </c>
      <c r="B45" s="19"/>
      <c r="C45" s="20"/>
      <c r="D45" s="19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20"/>
      <c r="EQ45" s="20"/>
      <c r="ER45" s="20"/>
      <c r="ES45" s="20"/>
      <c r="ET45" s="20"/>
      <c r="EU45" s="20"/>
      <c r="EV45" s="20"/>
      <c r="EW45" s="20"/>
      <c r="EX45" s="20"/>
      <c r="EY45" s="20"/>
      <c r="EZ45" s="20"/>
      <c r="FA45" s="20"/>
      <c r="FB45" s="20"/>
      <c r="FC45" s="20"/>
      <c r="FD45" s="20"/>
      <c r="FE45" s="20"/>
      <c r="FF45" s="20"/>
      <c r="FG45" s="20"/>
      <c r="FH45" s="20"/>
      <c r="FI45" s="20"/>
      <c r="FJ45" s="20"/>
      <c r="FK45" s="20"/>
      <c r="FL45" s="20"/>
      <c r="FM45" s="20"/>
      <c r="FN45" s="20"/>
      <c r="FO45" s="20"/>
      <c r="FP45" s="20"/>
      <c r="FQ45" s="20"/>
      <c r="FR45" s="20"/>
      <c r="FS45" s="20"/>
      <c r="FT45" s="20"/>
      <c r="FU45" s="20"/>
      <c r="FV45" s="20"/>
      <c r="FW45" s="20"/>
      <c r="FX45" s="20"/>
      <c r="FY45" s="20"/>
      <c r="FZ45" s="20"/>
      <c r="GA45" s="20"/>
      <c r="GB45" s="20"/>
      <c r="GC45" s="20"/>
      <c r="GD45" s="20"/>
      <c r="GE45" s="20"/>
      <c r="GF45" s="20"/>
      <c r="GG45" s="20"/>
      <c r="GH45" s="20"/>
      <c r="GI45" s="20"/>
      <c r="GJ45" s="20"/>
      <c r="GK45" s="20"/>
    </row>
    <row r="46" spans="1:193" ht="18" customHeight="1">
      <c r="A46" s="9" t="str">
        <f t="shared" si="1"/>
        <v/>
      </c>
      <c r="B46" s="10"/>
      <c r="C46" s="11"/>
      <c r="D46" s="10"/>
      <c r="E46" s="11"/>
      <c r="F46" s="11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/>
      <c r="CX46" s="15"/>
      <c r="CY46" s="15"/>
      <c r="CZ46" s="15"/>
      <c r="DA46" s="15"/>
      <c r="DB46" s="15"/>
      <c r="DC46" s="15"/>
      <c r="DD46" s="15"/>
      <c r="DE46" s="15"/>
      <c r="DF46" s="15"/>
      <c r="DG46" s="14"/>
      <c r="DH46" s="14"/>
      <c r="DI46" s="14"/>
      <c r="DJ46" s="14"/>
      <c r="DK46" s="14"/>
      <c r="DL46" s="14"/>
      <c r="DM46" s="14"/>
      <c r="DN46" s="14"/>
      <c r="DO46" s="14"/>
      <c r="DP46" s="14"/>
      <c r="DQ46" s="14"/>
      <c r="DR46" s="14"/>
      <c r="DS46" s="14"/>
      <c r="DT46" s="14"/>
      <c r="DU46" s="14"/>
      <c r="DV46" s="14"/>
      <c r="DW46" s="14"/>
      <c r="DX46" s="14"/>
      <c r="DY46" s="14"/>
      <c r="DZ46" s="14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6"/>
      <c r="EV46" s="16"/>
      <c r="EW46" s="16"/>
      <c r="EX46" s="16"/>
      <c r="EY46" s="16"/>
      <c r="EZ46" s="16"/>
      <c r="FA46" s="16"/>
      <c r="FB46" s="16"/>
      <c r="FC46" s="16"/>
      <c r="FD46" s="16"/>
      <c r="FE46" s="16"/>
      <c r="FF46" s="16"/>
      <c r="FG46" s="16"/>
      <c r="FH46" s="16"/>
      <c r="FI46" s="16"/>
      <c r="FJ46" s="16"/>
      <c r="FK46" s="16"/>
      <c r="FL46" s="16"/>
      <c r="FM46" s="16"/>
      <c r="FN46" s="16"/>
      <c r="FO46" s="17"/>
      <c r="FP46" s="17"/>
      <c r="FQ46" s="17"/>
      <c r="FR46" s="17"/>
      <c r="FS46" s="17"/>
      <c r="FT46" s="17"/>
      <c r="FU46" s="17"/>
      <c r="FV46" s="17"/>
      <c r="FW46" s="17"/>
      <c r="FX46" s="17"/>
      <c r="FY46" s="17"/>
      <c r="FZ46" s="17"/>
      <c r="GA46" s="17"/>
      <c r="GB46" s="17"/>
      <c r="GC46" s="17"/>
      <c r="GD46" s="13"/>
      <c r="GE46" s="13"/>
      <c r="GF46" s="13"/>
      <c r="GG46" s="13"/>
      <c r="GH46" s="13"/>
      <c r="GI46" s="13"/>
      <c r="GJ46" s="13"/>
      <c r="GK46" s="13"/>
    </row>
    <row r="47" spans="1:193" ht="18" customHeight="1">
      <c r="A47" s="18" t="str">
        <f t="shared" si="1"/>
        <v/>
      </c>
      <c r="B47" s="19"/>
      <c r="C47" s="20"/>
      <c r="D47" s="19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20"/>
      <c r="EQ47" s="20"/>
      <c r="ER47" s="20"/>
      <c r="ES47" s="20"/>
      <c r="ET47" s="20"/>
      <c r="EU47" s="20"/>
      <c r="EV47" s="20"/>
      <c r="EW47" s="20"/>
      <c r="EX47" s="20"/>
      <c r="EY47" s="20"/>
      <c r="EZ47" s="20"/>
      <c r="FA47" s="20"/>
      <c r="FB47" s="20"/>
      <c r="FC47" s="20"/>
      <c r="FD47" s="20"/>
      <c r="FE47" s="20"/>
      <c r="FF47" s="20"/>
      <c r="FG47" s="20"/>
      <c r="FH47" s="20"/>
      <c r="FI47" s="20"/>
      <c r="FJ47" s="20"/>
      <c r="FK47" s="20"/>
      <c r="FL47" s="20"/>
      <c r="FM47" s="20"/>
      <c r="FN47" s="20"/>
      <c r="FO47" s="20"/>
      <c r="FP47" s="20"/>
      <c r="FQ47" s="20"/>
      <c r="FR47" s="20"/>
      <c r="FS47" s="20"/>
      <c r="FT47" s="20"/>
      <c r="FU47" s="20"/>
      <c r="FV47" s="20"/>
      <c r="FW47" s="20"/>
      <c r="FX47" s="20"/>
      <c r="FY47" s="20"/>
      <c r="FZ47" s="20"/>
      <c r="GA47" s="20"/>
      <c r="GB47" s="20"/>
      <c r="GC47" s="20"/>
      <c r="GD47" s="20"/>
      <c r="GE47" s="20"/>
      <c r="GF47" s="20"/>
      <c r="GG47" s="20"/>
      <c r="GH47" s="20"/>
      <c r="GI47" s="20"/>
      <c r="GJ47" s="20"/>
      <c r="GK47" s="20"/>
    </row>
    <row r="48" spans="1:193" ht="18" customHeight="1">
      <c r="A48" s="9" t="str">
        <f t="shared" si="1"/>
        <v/>
      </c>
      <c r="B48" s="10"/>
      <c r="C48" s="11"/>
      <c r="D48" s="10"/>
      <c r="E48" s="11"/>
      <c r="F48" s="11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5"/>
      <c r="DF48" s="15"/>
      <c r="DG48" s="14"/>
      <c r="DH48" s="14"/>
      <c r="DI48" s="14"/>
      <c r="DJ48" s="14"/>
      <c r="DK48" s="14"/>
      <c r="DL48" s="14"/>
      <c r="DM48" s="14"/>
      <c r="DN48" s="14"/>
      <c r="DO48" s="14"/>
      <c r="DP48" s="14"/>
      <c r="DQ48" s="14"/>
      <c r="DR48" s="14"/>
      <c r="DS48" s="14"/>
      <c r="DT48" s="14"/>
      <c r="DU48" s="14"/>
      <c r="DV48" s="14"/>
      <c r="DW48" s="14"/>
      <c r="DX48" s="14"/>
      <c r="DY48" s="14"/>
      <c r="DZ48" s="14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6"/>
      <c r="EV48" s="16"/>
      <c r="EW48" s="16"/>
      <c r="EX48" s="16"/>
      <c r="EY48" s="16"/>
      <c r="EZ48" s="16"/>
      <c r="FA48" s="16"/>
      <c r="FB48" s="16"/>
      <c r="FC48" s="16"/>
      <c r="FD48" s="16"/>
      <c r="FE48" s="16"/>
      <c r="FF48" s="16"/>
      <c r="FG48" s="16"/>
      <c r="FH48" s="16"/>
      <c r="FI48" s="16"/>
      <c r="FJ48" s="16"/>
      <c r="FK48" s="16"/>
      <c r="FL48" s="16"/>
      <c r="FM48" s="16"/>
      <c r="FN48" s="16"/>
      <c r="FO48" s="17"/>
      <c r="FP48" s="17"/>
      <c r="FQ48" s="17"/>
      <c r="FR48" s="17"/>
      <c r="FS48" s="17"/>
      <c r="FT48" s="17"/>
      <c r="FU48" s="17"/>
      <c r="FV48" s="17"/>
      <c r="FW48" s="17"/>
      <c r="FX48" s="17"/>
      <c r="FY48" s="17"/>
      <c r="FZ48" s="17"/>
      <c r="GA48" s="17"/>
      <c r="GB48" s="17"/>
      <c r="GC48" s="17"/>
      <c r="GD48" s="13"/>
      <c r="GE48" s="13"/>
      <c r="GF48" s="13"/>
      <c r="GG48" s="13"/>
      <c r="GH48" s="13"/>
      <c r="GI48" s="13"/>
      <c r="GJ48" s="13"/>
      <c r="GK48" s="13"/>
    </row>
    <row r="49" spans="1:193" ht="18" customHeight="1">
      <c r="A49" s="18" t="str">
        <f t="shared" si="1"/>
        <v/>
      </c>
      <c r="B49" s="19"/>
      <c r="C49" s="20"/>
      <c r="D49" s="19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20"/>
      <c r="EQ49" s="20"/>
      <c r="ER49" s="20"/>
      <c r="ES49" s="20"/>
      <c r="ET49" s="20"/>
      <c r="EU49" s="20"/>
      <c r="EV49" s="20"/>
      <c r="EW49" s="20"/>
      <c r="EX49" s="20"/>
      <c r="EY49" s="20"/>
      <c r="EZ49" s="20"/>
      <c r="FA49" s="20"/>
      <c r="FB49" s="20"/>
      <c r="FC49" s="20"/>
      <c r="FD49" s="20"/>
      <c r="FE49" s="20"/>
      <c r="FF49" s="20"/>
      <c r="FG49" s="20"/>
      <c r="FH49" s="20"/>
      <c r="FI49" s="20"/>
      <c r="FJ49" s="20"/>
      <c r="FK49" s="20"/>
      <c r="FL49" s="20"/>
      <c r="FM49" s="20"/>
      <c r="FN49" s="20"/>
      <c r="FO49" s="20"/>
      <c r="FP49" s="20"/>
      <c r="FQ49" s="20"/>
      <c r="FR49" s="20"/>
      <c r="FS49" s="20"/>
      <c r="FT49" s="20"/>
      <c r="FU49" s="20"/>
      <c r="FV49" s="20"/>
      <c r="FW49" s="20"/>
      <c r="FX49" s="20"/>
      <c r="FY49" s="20"/>
      <c r="FZ49" s="20"/>
      <c r="GA49" s="20"/>
      <c r="GB49" s="20"/>
      <c r="GC49" s="20"/>
      <c r="GD49" s="20"/>
      <c r="GE49" s="20"/>
      <c r="GF49" s="20"/>
      <c r="GG49" s="20"/>
      <c r="GH49" s="20"/>
      <c r="GI49" s="20"/>
      <c r="GJ49" s="20"/>
      <c r="GK49" s="20"/>
    </row>
    <row r="50" spans="1:193" ht="18" customHeight="1">
      <c r="A50" s="9" t="str">
        <f t="shared" si="1"/>
        <v/>
      </c>
      <c r="B50" s="10"/>
      <c r="C50" s="11"/>
      <c r="D50" s="10"/>
      <c r="E50" s="11"/>
      <c r="F50" s="11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  <c r="DF50" s="15"/>
      <c r="DG50" s="14"/>
      <c r="DH50" s="14"/>
      <c r="DI50" s="14"/>
      <c r="DJ50" s="14"/>
      <c r="DK50" s="14"/>
      <c r="DL50" s="14"/>
      <c r="DM50" s="14"/>
      <c r="DN50" s="14"/>
      <c r="DO50" s="14"/>
      <c r="DP50" s="14"/>
      <c r="DQ50" s="14"/>
      <c r="DR50" s="14"/>
      <c r="DS50" s="14"/>
      <c r="DT50" s="14"/>
      <c r="DU50" s="14"/>
      <c r="DV50" s="14"/>
      <c r="DW50" s="14"/>
      <c r="DX50" s="14"/>
      <c r="DY50" s="14"/>
      <c r="DZ50" s="14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6"/>
      <c r="EV50" s="16"/>
      <c r="EW50" s="16"/>
      <c r="EX50" s="16"/>
      <c r="EY50" s="16"/>
      <c r="EZ50" s="16"/>
      <c r="FA50" s="16"/>
      <c r="FB50" s="16"/>
      <c r="FC50" s="16"/>
      <c r="FD50" s="16"/>
      <c r="FE50" s="16"/>
      <c r="FF50" s="16"/>
      <c r="FG50" s="16"/>
      <c r="FH50" s="16"/>
      <c r="FI50" s="16"/>
      <c r="FJ50" s="16"/>
      <c r="FK50" s="16"/>
      <c r="FL50" s="16"/>
      <c r="FM50" s="16"/>
      <c r="FN50" s="16"/>
      <c r="FO50" s="17"/>
      <c r="FP50" s="17"/>
      <c r="FQ50" s="17"/>
      <c r="FR50" s="17"/>
      <c r="FS50" s="17"/>
      <c r="FT50" s="17"/>
      <c r="FU50" s="17"/>
      <c r="FV50" s="17"/>
      <c r="FW50" s="17"/>
      <c r="FX50" s="17"/>
      <c r="FY50" s="17"/>
      <c r="FZ50" s="17"/>
      <c r="GA50" s="17"/>
      <c r="GB50" s="17"/>
      <c r="GC50" s="17"/>
      <c r="GD50" s="13"/>
      <c r="GE50" s="13"/>
      <c r="GF50" s="13"/>
      <c r="GG50" s="13"/>
      <c r="GH50" s="13"/>
      <c r="GI50" s="13"/>
      <c r="GJ50" s="13"/>
      <c r="GK50" s="13"/>
    </row>
    <row r="51" spans="1:193" ht="18" customHeight="1">
      <c r="A51" s="18" t="str">
        <f t="shared" si="1"/>
        <v/>
      </c>
      <c r="B51" s="19"/>
      <c r="C51" s="20"/>
      <c r="D51" s="19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20"/>
      <c r="EQ51" s="20"/>
      <c r="ER51" s="20"/>
      <c r="ES51" s="20"/>
      <c r="ET51" s="20"/>
      <c r="EU51" s="20"/>
      <c r="EV51" s="20"/>
      <c r="EW51" s="20"/>
      <c r="EX51" s="20"/>
      <c r="EY51" s="20"/>
      <c r="EZ51" s="20"/>
      <c r="FA51" s="20"/>
      <c r="FB51" s="20"/>
      <c r="FC51" s="20"/>
      <c r="FD51" s="20"/>
      <c r="FE51" s="20"/>
      <c r="FF51" s="20"/>
      <c r="FG51" s="20"/>
      <c r="FH51" s="20"/>
      <c r="FI51" s="20"/>
      <c r="FJ51" s="20"/>
      <c r="FK51" s="20"/>
      <c r="FL51" s="20"/>
      <c r="FM51" s="20"/>
      <c r="FN51" s="20"/>
      <c r="FO51" s="20"/>
      <c r="FP51" s="20"/>
      <c r="FQ51" s="20"/>
      <c r="FR51" s="20"/>
      <c r="FS51" s="20"/>
      <c r="FT51" s="20"/>
      <c r="FU51" s="20"/>
      <c r="FV51" s="20"/>
      <c r="FW51" s="20"/>
      <c r="FX51" s="20"/>
      <c r="FY51" s="20"/>
      <c r="FZ51" s="20"/>
      <c r="GA51" s="20"/>
      <c r="GB51" s="20"/>
      <c r="GC51" s="20"/>
      <c r="GD51" s="20"/>
      <c r="GE51" s="20"/>
      <c r="GF51" s="20"/>
      <c r="GG51" s="20"/>
      <c r="GH51" s="20"/>
      <c r="GI51" s="20"/>
      <c r="GJ51" s="20"/>
      <c r="GK51" s="20"/>
    </row>
    <row r="52" spans="1:193" ht="18" customHeight="1">
      <c r="A52" s="9" t="str">
        <f t="shared" si="1"/>
        <v/>
      </c>
      <c r="B52" s="10"/>
      <c r="C52" s="11"/>
      <c r="D52" s="10"/>
      <c r="E52" s="11"/>
      <c r="F52" s="11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  <c r="DF52" s="15"/>
      <c r="DG52" s="14"/>
      <c r="DH52" s="14"/>
      <c r="DI52" s="14"/>
      <c r="DJ52" s="14"/>
      <c r="DK52" s="14"/>
      <c r="DL52" s="14"/>
      <c r="DM52" s="14"/>
      <c r="DN52" s="14"/>
      <c r="DO52" s="14"/>
      <c r="DP52" s="14"/>
      <c r="DQ52" s="14"/>
      <c r="DR52" s="14"/>
      <c r="DS52" s="14"/>
      <c r="DT52" s="14"/>
      <c r="DU52" s="14"/>
      <c r="DV52" s="14"/>
      <c r="DW52" s="14"/>
      <c r="DX52" s="14"/>
      <c r="DY52" s="14"/>
      <c r="DZ52" s="14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6"/>
      <c r="EV52" s="16"/>
      <c r="EW52" s="16"/>
      <c r="EX52" s="16"/>
      <c r="EY52" s="16"/>
      <c r="EZ52" s="16"/>
      <c r="FA52" s="16"/>
      <c r="FB52" s="16"/>
      <c r="FC52" s="16"/>
      <c r="FD52" s="16"/>
      <c r="FE52" s="16"/>
      <c r="FF52" s="16"/>
      <c r="FG52" s="16"/>
      <c r="FH52" s="16"/>
      <c r="FI52" s="16"/>
      <c r="FJ52" s="16"/>
      <c r="FK52" s="16"/>
      <c r="FL52" s="16"/>
      <c r="FM52" s="16"/>
      <c r="FN52" s="16"/>
      <c r="FO52" s="17"/>
      <c r="FP52" s="17"/>
      <c r="FQ52" s="17"/>
      <c r="FR52" s="17"/>
      <c r="FS52" s="17"/>
      <c r="FT52" s="17"/>
      <c r="FU52" s="17"/>
      <c r="FV52" s="17"/>
      <c r="FW52" s="17"/>
      <c r="FX52" s="17"/>
      <c r="FY52" s="17"/>
      <c r="FZ52" s="17"/>
      <c r="GA52" s="17"/>
      <c r="GB52" s="17"/>
      <c r="GC52" s="17"/>
      <c r="GD52" s="13"/>
      <c r="GE52" s="13"/>
      <c r="GF52" s="13"/>
      <c r="GG52" s="13"/>
      <c r="GH52" s="13"/>
      <c r="GI52" s="13"/>
      <c r="GJ52" s="13"/>
      <c r="GK52" s="13"/>
    </row>
    <row r="53" spans="1:193" ht="18" customHeight="1">
      <c r="A53" s="18" t="str">
        <f t="shared" si="1"/>
        <v/>
      </c>
      <c r="B53" s="19"/>
      <c r="C53" s="20"/>
      <c r="D53" s="19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20"/>
      <c r="EQ53" s="20"/>
      <c r="ER53" s="20"/>
      <c r="ES53" s="20"/>
      <c r="ET53" s="20"/>
      <c r="EU53" s="20"/>
      <c r="EV53" s="20"/>
      <c r="EW53" s="20"/>
      <c r="EX53" s="20"/>
      <c r="EY53" s="20"/>
      <c r="EZ53" s="20"/>
      <c r="FA53" s="20"/>
      <c r="FB53" s="20"/>
      <c r="FC53" s="20"/>
      <c r="FD53" s="20"/>
      <c r="FE53" s="20"/>
      <c r="FF53" s="20"/>
      <c r="FG53" s="20"/>
      <c r="FH53" s="20"/>
      <c r="FI53" s="20"/>
      <c r="FJ53" s="20"/>
      <c r="FK53" s="20"/>
      <c r="FL53" s="20"/>
      <c r="FM53" s="20"/>
      <c r="FN53" s="20"/>
      <c r="FO53" s="20"/>
      <c r="FP53" s="20"/>
      <c r="FQ53" s="20"/>
      <c r="FR53" s="20"/>
      <c r="FS53" s="20"/>
      <c r="FT53" s="20"/>
      <c r="FU53" s="20"/>
      <c r="FV53" s="20"/>
      <c r="FW53" s="20"/>
      <c r="FX53" s="20"/>
      <c r="FY53" s="20"/>
      <c r="FZ53" s="20"/>
      <c r="GA53" s="20"/>
      <c r="GB53" s="20"/>
      <c r="GC53" s="20"/>
      <c r="GD53" s="20"/>
      <c r="GE53" s="20"/>
      <c r="GF53" s="20"/>
      <c r="GG53" s="20"/>
      <c r="GH53" s="20"/>
      <c r="GI53" s="20"/>
      <c r="GJ53" s="20"/>
      <c r="GK53" s="20"/>
    </row>
    <row r="54" spans="1:193" ht="18" customHeight="1">
      <c r="A54" s="9" t="str">
        <f t="shared" si="1"/>
        <v/>
      </c>
      <c r="B54" s="10"/>
      <c r="C54" s="11"/>
      <c r="D54" s="10"/>
      <c r="E54" s="11"/>
      <c r="F54" s="11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5"/>
      <c r="DA54" s="15"/>
      <c r="DB54" s="15"/>
      <c r="DC54" s="15"/>
      <c r="DD54" s="15"/>
      <c r="DE54" s="15"/>
      <c r="DF54" s="15"/>
      <c r="DG54" s="14"/>
      <c r="DH54" s="14"/>
      <c r="DI54" s="14"/>
      <c r="DJ54" s="14"/>
      <c r="DK54" s="14"/>
      <c r="DL54" s="14"/>
      <c r="DM54" s="14"/>
      <c r="DN54" s="14"/>
      <c r="DO54" s="14"/>
      <c r="DP54" s="14"/>
      <c r="DQ54" s="14"/>
      <c r="DR54" s="14"/>
      <c r="DS54" s="14"/>
      <c r="DT54" s="14"/>
      <c r="DU54" s="14"/>
      <c r="DV54" s="14"/>
      <c r="DW54" s="14"/>
      <c r="DX54" s="14"/>
      <c r="DY54" s="14"/>
      <c r="DZ54" s="14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6"/>
      <c r="EV54" s="16"/>
      <c r="EW54" s="16"/>
      <c r="EX54" s="16"/>
      <c r="EY54" s="16"/>
      <c r="EZ54" s="16"/>
      <c r="FA54" s="16"/>
      <c r="FB54" s="16"/>
      <c r="FC54" s="16"/>
      <c r="FD54" s="16"/>
      <c r="FE54" s="16"/>
      <c r="FF54" s="16"/>
      <c r="FG54" s="16"/>
      <c r="FH54" s="16"/>
      <c r="FI54" s="16"/>
      <c r="FJ54" s="16"/>
      <c r="FK54" s="16"/>
      <c r="FL54" s="16"/>
      <c r="FM54" s="16"/>
      <c r="FN54" s="16"/>
      <c r="FO54" s="17"/>
      <c r="FP54" s="17"/>
      <c r="FQ54" s="17"/>
      <c r="FR54" s="17"/>
      <c r="FS54" s="17"/>
      <c r="FT54" s="17"/>
      <c r="FU54" s="17"/>
      <c r="FV54" s="17"/>
      <c r="FW54" s="17"/>
      <c r="FX54" s="17"/>
      <c r="FY54" s="17"/>
      <c r="FZ54" s="17"/>
      <c r="GA54" s="17"/>
      <c r="GB54" s="17"/>
      <c r="GC54" s="17"/>
      <c r="GD54" s="13"/>
      <c r="GE54" s="13"/>
      <c r="GF54" s="13"/>
      <c r="GG54" s="13"/>
      <c r="GH54" s="13"/>
      <c r="GI54" s="13"/>
      <c r="GJ54" s="13"/>
      <c r="GK54" s="13"/>
    </row>
    <row r="55" spans="1:193" ht="18" customHeight="1">
      <c r="A55" s="18" t="str">
        <f t="shared" si="1"/>
        <v/>
      </c>
      <c r="B55" s="19"/>
      <c r="C55" s="20"/>
      <c r="D55" s="19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20"/>
      <c r="EQ55" s="20"/>
      <c r="ER55" s="20"/>
      <c r="ES55" s="20"/>
      <c r="ET55" s="20"/>
      <c r="EU55" s="20"/>
      <c r="EV55" s="20"/>
      <c r="EW55" s="20"/>
      <c r="EX55" s="20"/>
      <c r="EY55" s="20"/>
      <c r="EZ55" s="20"/>
      <c r="FA55" s="20"/>
      <c r="FB55" s="20"/>
      <c r="FC55" s="20"/>
      <c r="FD55" s="20"/>
      <c r="FE55" s="20"/>
      <c r="FF55" s="20"/>
      <c r="FG55" s="20"/>
      <c r="FH55" s="20"/>
      <c r="FI55" s="20"/>
      <c r="FJ55" s="20"/>
      <c r="FK55" s="20"/>
      <c r="FL55" s="20"/>
      <c r="FM55" s="20"/>
      <c r="FN55" s="20"/>
      <c r="FO55" s="20"/>
      <c r="FP55" s="20"/>
      <c r="FQ55" s="20"/>
      <c r="FR55" s="20"/>
      <c r="FS55" s="20"/>
      <c r="FT55" s="20"/>
      <c r="FU55" s="20"/>
      <c r="FV55" s="20"/>
      <c r="FW55" s="20"/>
      <c r="FX55" s="20"/>
      <c r="FY55" s="20"/>
      <c r="FZ55" s="20"/>
      <c r="GA55" s="20"/>
      <c r="GB55" s="20"/>
      <c r="GC55" s="20"/>
      <c r="GD55" s="20"/>
      <c r="GE55" s="20"/>
      <c r="GF55" s="20"/>
      <c r="GG55" s="20"/>
      <c r="GH55" s="20"/>
      <c r="GI55" s="20"/>
      <c r="GJ55" s="20"/>
      <c r="GK55" s="20"/>
    </row>
    <row r="56" spans="1:193" ht="18" customHeight="1">
      <c r="A56" s="9" t="str">
        <f t="shared" si="1"/>
        <v/>
      </c>
      <c r="B56" s="10"/>
      <c r="C56" s="11"/>
      <c r="D56" s="10"/>
      <c r="E56" s="11"/>
      <c r="F56" s="11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5"/>
      <c r="CN56" s="15"/>
      <c r="CO56" s="15"/>
      <c r="CP56" s="15"/>
      <c r="CQ56" s="15"/>
      <c r="CR56" s="15"/>
      <c r="CS56" s="15"/>
      <c r="CT56" s="15"/>
      <c r="CU56" s="15"/>
      <c r="CV56" s="15"/>
      <c r="CW56" s="15"/>
      <c r="CX56" s="15"/>
      <c r="CY56" s="15"/>
      <c r="CZ56" s="15"/>
      <c r="DA56" s="15"/>
      <c r="DB56" s="15"/>
      <c r="DC56" s="15"/>
      <c r="DD56" s="15"/>
      <c r="DE56" s="15"/>
      <c r="DF56" s="15"/>
      <c r="DG56" s="14"/>
      <c r="DH56" s="14"/>
      <c r="DI56" s="14"/>
      <c r="DJ56" s="14"/>
      <c r="DK56" s="14"/>
      <c r="DL56" s="14"/>
      <c r="DM56" s="14"/>
      <c r="DN56" s="14"/>
      <c r="DO56" s="14"/>
      <c r="DP56" s="14"/>
      <c r="DQ56" s="14"/>
      <c r="DR56" s="14"/>
      <c r="DS56" s="14"/>
      <c r="DT56" s="14"/>
      <c r="DU56" s="14"/>
      <c r="DV56" s="14"/>
      <c r="DW56" s="14"/>
      <c r="DX56" s="14"/>
      <c r="DY56" s="14"/>
      <c r="DZ56" s="14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6"/>
      <c r="EV56" s="16"/>
      <c r="EW56" s="16"/>
      <c r="EX56" s="16"/>
      <c r="EY56" s="16"/>
      <c r="EZ56" s="16"/>
      <c r="FA56" s="16"/>
      <c r="FB56" s="16"/>
      <c r="FC56" s="16"/>
      <c r="FD56" s="16"/>
      <c r="FE56" s="16"/>
      <c r="FF56" s="16"/>
      <c r="FG56" s="16"/>
      <c r="FH56" s="16"/>
      <c r="FI56" s="16"/>
      <c r="FJ56" s="16"/>
      <c r="FK56" s="16"/>
      <c r="FL56" s="16"/>
      <c r="FM56" s="16"/>
      <c r="FN56" s="16"/>
      <c r="FO56" s="17"/>
      <c r="FP56" s="17"/>
      <c r="FQ56" s="17"/>
      <c r="FR56" s="17"/>
      <c r="FS56" s="17"/>
      <c r="FT56" s="17"/>
      <c r="FU56" s="17"/>
      <c r="FV56" s="17"/>
      <c r="FW56" s="17"/>
      <c r="FX56" s="17"/>
      <c r="FY56" s="17"/>
      <c r="FZ56" s="17"/>
      <c r="GA56" s="17"/>
      <c r="GB56" s="17"/>
      <c r="GC56" s="17"/>
      <c r="GD56" s="13"/>
      <c r="GE56" s="13"/>
      <c r="GF56" s="13"/>
      <c r="GG56" s="13"/>
      <c r="GH56" s="13"/>
      <c r="GI56" s="13"/>
      <c r="GJ56" s="13"/>
      <c r="GK56" s="13"/>
    </row>
    <row r="57" spans="1:193" ht="18" customHeight="1">
      <c r="A57" s="18" t="str">
        <f t="shared" si="1"/>
        <v/>
      </c>
      <c r="B57" s="19"/>
      <c r="C57" s="20"/>
      <c r="D57" s="19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20"/>
      <c r="EQ57" s="20"/>
      <c r="ER57" s="20"/>
      <c r="ES57" s="20"/>
      <c r="ET57" s="20"/>
      <c r="EU57" s="20"/>
      <c r="EV57" s="20"/>
      <c r="EW57" s="20"/>
      <c r="EX57" s="20"/>
      <c r="EY57" s="20"/>
      <c r="EZ57" s="20"/>
      <c r="FA57" s="20"/>
      <c r="FB57" s="20"/>
      <c r="FC57" s="20"/>
      <c r="FD57" s="20"/>
      <c r="FE57" s="20"/>
      <c r="FF57" s="20"/>
      <c r="FG57" s="20"/>
      <c r="FH57" s="20"/>
      <c r="FI57" s="20"/>
      <c r="FJ57" s="20"/>
      <c r="FK57" s="20"/>
      <c r="FL57" s="20"/>
      <c r="FM57" s="20"/>
      <c r="FN57" s="20"/>
      <c r="FO57" s="20"/>
      <c r="FP57" s="20"/>
      <c r="FQ57" s="20"/>
      <c r="FR57" s="20"/>
      <c r="FS57" s="20"/>
      <c r="FT57" s="20"/>
      <c r="FU57" s="20"/>
      <c r="FV57" s="20"/>
      <c r="FW57" s="20"/>
      <c r="FX57" s="20"/>
      <c r="FY57" s="20"/>
      <c r="FZ57" s="20"/>
      <c r="GA57" s="20"/>
      <c r="GB57" s="20"/>
      <c r="GC57" s="20"/>
      <c r="GD57" s="20"/>
      <c r="GE57" s="20"/>
      <c r="GF57" s="20"/>
      <c r="GG57" s="20"/>
      <c r="GH57" s="20"/>
      <c r="GI57" s="20"/>
      <c r="GJ57" s="20"/>
      <c r="GK57" s="20"/>
    </row>
    <row r="58" spans="1:193" ht="18" customHeight="1">
      <c r="A58" s="9" t="str">
        <f t="shared" si="1"/>
        <v/>
      </c>
      <c r="B58" s="10"/>
      <c r="C58" s="11"/>
      <c r="D58" s="10"/>
      <c r="E58" s="11"/>
      <c r="F58" s="11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5"/>
      <c r="DA58" s="15"/>
      <c r="DB58" s="15"/>
      <c r="DC58" s="15"/>
      <c r="DD58" s="15"/>
      <c r="DE58" s="15"/>
      <c r="DF58" s="15"/>
      <c r="DG58" s="14"/>
      <c r="DH58" s="14"/>
      <c r="DI58" s="14"/>
      <c r="DJ58" s="14"/>
      <c r="DK58" s="14"/>
      <c r="DL58" s="14"/>
      <c r="DM58" s="14"/>
      <c r="DN58" s="14"/>
      <c r="DO58" s="14"/>
      <c r="DP58" s="14"/>
      <c r="DQ58" s="14"/>
      <c r="DR58" s="14"/>
      <c r="DS58" s="14"/>
      <c r="DT58" s="14"/>
      <c r="DU58" s="14"/>
      <c r="DV58" s="14"/>
      <c r="DW58" s="14"/>
      <c r="DX58" s="14"/>
      <c r="DY58" s="14"/>
      <c r="DZ58" s="14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6"/>
      <c r="EV58" s="16"/>
      <c r="EW58" s="16"/>
      <c r="EX58" s="16"/>
      <c r="EY58" s="16"/>
      <c r="EZ58" s="16"/>
      <c r="FA58" s="16"/>
      <c r="FB58" s="16"/>
      <c r="FC58" s="16"/>
      <c r="FD58" s="16"/>
      <c r="FE58" s="16"/>
      <c r="FF58" s="16"/>
      <c r="FG58" s="16"/>
      <c r="FH58" s="16"/>
      <c r="FI58" s="16"/>
      <c r="FJ58" s="16"/>
      <c r="FK58" s="16"/>
      <c r="FL58" s="16"/>
      <c r="FM58" s="16"/>
      <c r="FN58" s="16"/>
      <c r="FO58" s="17"/>
      <c r="FP58" s="17"/>
      <c r="FQ58" s="17"/>
      <c r="FR58" s="17"/>
      <c r="FS58" s="17"/>
      <c r="FT58" s="17"/>
      <c r="FU58" s="17"/>
      <c r="FV58" s="17"/>
      <c r="FW58" s="17"/>
      <c r="FX58" s="17"/>
      <c r="FY58" s="17"/>
      <c r="FZ58" s="17"/>
      <c r="GA58" s="17"/>
      <c r="GB58" s="17"/>
      <c r="GC58" s="17"/>
      <c r="GD58" s="13"/>
      <c r="GE58" s="13"/>
      <c r="GF58" s="13"/>
      <c r="GG58" s="13"/>
      <c r="GH58" s="13"/>
      <c r="GI58" s="13"/>
      <c r="GJ58" s="13"/>
      <c r="GK58" s="13"/>
    </row>
    <row r="59" spans="1:193" ht="18" customHeight="1">
      <c r="A59" s="18" t="str">
        <f t="shared" si="1"/>
        <v/>
      </c>
      <c r="B59" s="19"/>
      <c r="C59" s="20"/>
      <c r="D59" s="19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20"/>
      <c r="EQ59" s="20"/>
      <c r="ER59" s="20"/>
      <c r="ES59" s="20"/>
      <c r="ET59" s="20"/>
      <c r="EU59" s="20"/>
      <c r="EV59" s="20"/>
      <c r="EW59" s="20"/>
      <c r="EX59" s="20"/>
      <c r="EY59" s="20"/>
      <c r="EZ59" s="20"/>
      <c r="FA59" s="20"/>
      <c r="FB59" s="20"/>
      <c r="FC59" s="20"/>
      <c r="FD59" s="20"/>
      <c r="FE59" s="20"/>
      <c r="FF59" s="20"/>
      <c r="FG59" s="20"/>
      <c r="FH59" s="20"/>
      <c r="FI59" s="20"/>
      <c r="FJ59" s="20"/>
      <c r="FK59" s="20"/>
      <c r="FL59" s="20"/>
      <c r="FM59" s="20"/>
      <c r="FN59" s="20"/>
      <c r="FO59" s="20"/>
      <c r="FP59" s="20"/>
      <c r="FQ59" s="20"/>
      <c r="FR59" s="20"/>
      <c r="FS59" s="20"/>
      <c r="FT59" s="20"/>
      <c r="FU59" s="20"/>
      <c r="FV59" s="20"/>
      <c r="FW59" s="20"/>
      <c r="FX59" s="20"/>
      <c r="FY59" s="20"/>
      <c r="FZ59" s="20"/>
      <c r="GA59" s="20"/>
      <c r="GB59" s="20"/>
      <c r="GC59" s="20"/>
      <c r="GD59" s="20"/>
      <c r="GE59" s="20"/>
      <c r="GF59" s="20"/>
      <c r="GG59" s="20"/>
      <c r="GH59" s="20"/>
      <c r="GI59" s="20"/>
      <c r="GJ59" s="20"/>
      <c r="GK59" s="20"/>
    </row>
    <row r="60" spans="1:193" ht="18" customHeight="1">
      <c r="A60" s="9" t="str">
        <f t="shared" si="1"/>
        <v/>
      </c>
      <c r="B60" s="10"/>
      <c r="C60" s="11"/>
      <c r="D60" s="10"/>
      <c r="E60" s="11"/>
      <c r="F60" s="11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15"/>
      <c r="DF60" s="15"/>
      <c r="DG60" s="14"/>
      <c r="DH60" s="14"/>
      <c r="DI60" s="14"/>
      <c r="DJ60" s="14"/>
      <c r="DK60" s="14"/>
      <c r="DL60" s="14"/>
      <c r="DM60" s="14"/>
      <c r="DN60" s="14"/>
      <c r="DO60" s="14"/>
      <c r="DP60" s="14"/>
      <c r="DQ60" s="14"/>
      <c r="DR60" s="14"/>
      <c r="DS60" s="14"/>
      <c r="DT60" s="14"/>
      <c r="DU60" s="14"/>
      <c r="DV60" s="14"/>
      <c r="DW60" s="14"/>
      <c r="DX60" s="14"/>
      <c r="DY60" s="14"/>
      <c r="DZ60" s="14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6"/>
      <c r="EV60" s="16"/>
      <c r="EW60" s="16"/>
      <c r="EX60" s="16"/>
      <c r="EY60" s="16"/>
      <c r="EZ60" s="16"/>
      <c r="FA60" s="16"/>
      <c r="FB60" s="16"/>
      <c r="FC60" s="16"/>
      <c r="FD60" s="16"/>
      <c r="FE60" s="16"/>
      <c r="FF60" s="16"/>
      <c r="FG60" s="16"/>
      <c r="FH60" s="16"/>
      <c r="FI60" s="16"/>
      <c r="FJ60" s="16"/>
      <c r="FK60" s="16"/>
      <c r="FL60" s="16"/>
      <c r="FM60" s="16"/>
      <c r="FN60" s="16"/>
      <c r="FO60" s="17"/>
      <c r="FP60" s="17"/>
      <c r="FQ60" s="17"/>
      <c r="FR60" s="17"/>
      <c r="FS60" s="17"/>
      <c r="FT60" s="17"/>
      <c r="FU60" s="17"/>
      <c r="FV60" s="17"/>
      <c r="FW60" s="17"/>
      <c r="FX60" s="17"/>
      <c r="FY60" s="17"/>
      <c r="FZ60" s="17"/>
      <c r="GA60" s="17"/>
      <c r="GB60" s="17"/>
      <c r="GC60" s="17"/>
      <c r="GD60" s="13"/>
      <c r="GE60" s="13"/>
      <c r="GF60" s="13"/>
      <c r="GG60" s="13"/>
      <c r="GH60" s="13"/>
      <c r="GI60" s="13"/>
      <c r="GJ60" s="13"/>
      <c r="GK60" s="13"/>
    </row>
    <row r="61" spans="1:193" ht="18" customHeight="1">
      <c r="A61" s="18" t="str">
        <f t="shared" si="1"/>
        <v/>
      </c>
      <c r="B61" s="19"/>
      <c r="C61" s="20"/>
      <c r="D61" s="19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20"/>
      <c r="EQ61" s="20"/>
      <c r="ER61" s="20"/>
      <c r="ES61" s="20"/>
      <c r="ET61" s="20"/>
      <c r="EU61" s="20"/>
      <c r="EV61" s="20"/>
      <c r="EW61" s="20"/>
      <c r="EX61" s="20"/>
      <c r="EY61" s="20"/>
      <c r="EZ61" s="20"/>
      <c r="FA61" s="20"/>
      <c r="FB61" s="20"/>
      <c r="FC61" s="20"/>
      <c r="FD61" s="20"/>
      <c r="FE61" s="20"/>
      <c r="FF61" s="20"/>
      <c r="FG61" s="20"/>
      <c r="FH61" s="20"/>
      <c r="FI61" s="20"/>
      <c r="FJ61" s="20"/>
      <c r="FK61" s="20"/>
      <c r="FL61" s="20"/>
      <c r="FM61" s="20"/>
      <c r="FN61" s="20"/>
      <c r="FO61" s="20"/>
      <c r="FP61" s="20"/>
      <c r="FQ61" s="20"/>
      <c r="FR61" s="20"/>
      <c r="FS61" s="20"/>
      <c r="FT61" s="20"/>
      <c r="FU61" s="20"/>
      <c r="FV61" s="20"/>
      <c r="FW61" s="20"/>
      <c r="FX61" s="20"/>
      <c r="FY61" s="20"/>
      <c r="FZ61" s="20"/>
      <c r="GA61" s="20"/>
      <c r="GB61" s="20"/>
      <c r="GC61" s="20"/>
      <c r="GD61" s="20"/>
      <c r="GE61" s="20"/>
      <c r="GF61" s="20"/>
      <c r="GG61" s="20"/>
      <c r="GH61" s="20"/>
      <c r="GI61" s="20"/>
      <c r="GJ61" s="20"/>
      <c r="GK61" s="20"/>
    </row>
    <row r="62" spans="1:193" ht="18" customHeight="1">
      <c r="A62" s="9" t="str">
        <f t="shared" si="1"/>
        <v/>
      </c>
      <c r="B62" s="10"/>
      <c r="C62" s="11"/>
      <c r="D62" s="10"/>
      <c r="E62" s="11"/>
      <c r="F62" s="11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  <c r="CK62" s="12"/>
      <c r="CL62" s="12"/>
      <c r="CM62" s="15"/>
      <c r="CN62" s="15"/>
      <c r="CO62" s="15"/>
      <c r="CP62" s="15"/>
      <c r="CQ62" s="15"/>
      <c r="CR62" s="15"/>
      <c r="CS62" s="15"/>
      <c r="CT62" s="15"/>
      <c r="CU62" s="15"/>
      <c r="CV62" s="15"/>
      <c r="CW62" s="15"/>
      <c r="CX62" s="15"/>
      <c r="CY62" s="15"/>
      <c r="CZ62" s="15"/>
      <c r="DA62" s="15"/>
      <c r="DB62" s="15"/>
      <c r="DC62" s="15"/>
      <c r="DD62" s="15"/>
      <c r="DE62" s="15"/>
      <c r="DF62" s="15"/>
      <c r="DG62" s="14"/>
      <c r="DH62" s="14"/>
      <c r="DI62" s="14"/>
      <c r="DJ62" s="14"/>
      <c r="DK62" s="14"/>
      <c r="DL62" s="14"/>
      <c r="DM62" s="14"/>
      <c r="DN62" s="14"/>
      <c r="DO62" s="14"/>
      <c r="DP62" s="14"/>
      <c r="DQ62" s="14"/>
      <c r="DR62" s="14"/>
      <c r="DS62" s="14"/>
      <c r="DT62" s="14"/>
      <c r="DU62" s="14"/>
      <c r="DV62" s="14"/>
      <c r="DW62" s="14"/>
      <c r="DX62" s="14"/>
      <c r="DY62" s="14"/>
      <c r="DZ62" s="14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6"/>
      <c r="EV62" s="16"/>
      <c r="EW62" s="16"/>
      <c r="EX62" s="16"/>
      <c r="EY62" s="16"/>
      <c r="EZ62" s="16"/>
      <c r="FA62" s="16"/>
      <c r="FB62" s="16"/>
      <c r="FC62" s="16"/>
      <c r="FD62" s="16"/>
      <c r="FE62" s="16"/>
      <c r="FF62" s="16"/>
      <c r="FG62" s="16"/>
      <c r="FH62" s="16"/>
      <c r="FI62" s="16"/>
      <c r="FJ62" s="16"/>
      <c r="FK62" s="16"/>
      <c r="FL62" s="16"/>
      <c r="FM62" s="16"/>
      <c r="FN62" s="16"/>
      <c r="FO62" s="17"/>
      <c r="FP62" s="17"/>
      <c r="FQ62" s="17"/>
      <c r="FR62" s="17"/>
      <c r="FS62" s="17"/>
      <c r="FT62" s="17"/>
      <c r="FU62" s="17"/>
      <c r="FV62" s="17"/>
      <c r="FW62" s="17"/>
      <c r="FX62" s="17"/>
      <c r="FY62" s="17"/>
      <c r="FZ62" s="17"/>
      <c r="GA62" s="17"/>
      <c r="GB62" s="17"/>
      <c r="GC62" s="17"/>
      <c r="GD62" s="13"/>
      <c r="GE62" s="13"/>
      <c r="GF62" s="13"/>
      <c r="GG62" s="13"/>
      <c r="GH62" s="13"/>
      <c r="GI62" s="13"/>
      <c r="GJ62" s="13"/>
      <c r="GK62" s="13"/>
    </row>
    <row r="63" spans="1:193" ht="18" customHeight="1">
      <c r="A63" s="18" t="str">
        <f t="shared" si="1"/>
        <v/>
      </c>
      <c r="B63" s="19"/>
      <c r="C63" s="20"/>
      <c r="D63" s="19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20"/>
      <c r="EQ63" s="20"/>
      <c r="ER63" s="20"/>
      <c r="ES63" s="20"/>
      <c r="ET63" s="20"/>
      <c r="EU63" s="20"/>
      <c r="EV63" s="20"/>
      <c r="EW63" s="20"/>
      <c r="EX63" s="20"/>
      <c r="EY63" s="20"/>
      <c r="EZ63" s="20"/>
      <c r="FA63" s="20"/>
      <c r="FB63" s="20"/>
      <c r="FC63" s="20"/>
      <c r="FD63" s="20"/>
      <c r="FE63" s="20"/>
      <c r="FF63" s="20"/>
      <c r="FG63" s="20"/>
      <c r="FH63" s="20"/>
      <c r="FI63" s="20"/>
      <c r="FJ63" s="20"/>
      <c r="FK63" s="20"/>
      <c r="FL63" s="20"/>
      <c r="FM63" s="20"/>
      <c r="FN63" s="20"/>
      <c r="FO63" s="20"/>
      <c r="FP63" s="20"/>
      <c r="FQ63" s="20"/>
      <c r="FR63" s="20"/>
      <c r="FS63" s="20"/>
      <c r="FT63" s="20"/>
      <c r="FU63" s="20"/>
      <c r="FV63" s="20"/>
      <c r="FW63" s="20"/>
      <c r="FX63" s="20"/>
      <c r="FY63" s="20"/>
      <c r="FZ63" s="20"/>
      <c r="GA63" s="20"/>
      <c r="GB63" s="20"/>
      <c r="GC63" s="20"/>
      <c r="GD63" s="20"/>
      <c r="GE63" s="20"/>
      <c r="GF63" s="20"/>
      <c r="GG63" s="20"/>
      <c r="GH63" s="20"/>
      <c r="GI63" s="20"/>
      <c r="GJ63" s="20"/>
      <c r="GK63" s="20"/>
    </row>
    <row r="64" spans="1:193" ht="18" customHeight="1">
      <c r="A64" s="9" t="str">
        <f t="shared" si="1"/>
        <v/>
      </c>
      <c r="B64" s="10"/>
      <c r="C64" s="11"/>
      <c r="D64" s="10"/>
      <c r="E64" s="11"/>
      <c r="F64" s="11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5"/>
      <c r="CN64" s="15"/>
      <c r="CO64" s="15"/>
      <c r="CP64" s="15"/>
      <c r="CQ64" s="15"/>
      <c r="CR64" s="15"/>
      <c r="CS64" s="15"/>
      <c r="CT64" s="15"/>
      <c r="CU64" s="15"/>
      <c r="CV64" s="15"/>
      <c r="CW64" s="15"/>
      <c r="CX64" s="15"/>
      <c r="CY64" s="15"/>
      <c r="CZ64" s="15"/>
      <c r="DA64" s="15"/>
      <c r="DB64" s="15"/>
      <c r="DC64" s="15"/>
      <c r="DD64" s="15"/>
      <c r="DE64" s="15"/>
      <c r="DF64" s="15"/>
      <c r="DG64" s="14"/>
      <c r="DH64" s="14"/>
      <c r="DI64" s="14"/>
      <c r="DJ64" s="14"/>
      <c r="DK64" s="14"/>
      <c r="DL64" s="1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  <c r="DZ64" s="14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6"/>
      <c r="EV64" s="16"/>
      <c r="EW64" s="16"/>
      <c r="EX64" s="16"/>
      <c r="EY64" s="16"/>
      <c r="EZ64" s="16"/>
      <c r="FA64" s="16"/>
      <c r="FB64" s="16"/>
      <c r="FC64" s="16"/>
      <c r="FD64" s="16"/>
      <c r="FE64" s="16"/>
      <c r="FF64" s="16"/>
      <c r="FG64" s="16"/>
      <c r="FH64" s="16"/>
      <c r="FI64" s="16"/>
      <c r="FJ64" s="16"/>
      <c r="FK64" s="16"/>
      <c r="FL64" s="16"/>
      <c r="FM64" s="16"/>
      <c r="FN64" s="16"/>
      <c r="FO64" s="17"/>
      <c r="FP64" s="17"/>
      <c r="FQ64" s="17"/>
      <c r="FR64" s="17"/>
      <c r="FS64" s="17"/>
      <c r="FT64" s="17"/>
      <c r="FU64" s="17"/>
      <c r="FV64" s="17"/>
      <c r="FW64" s="17"/>
      <c r="FX64" s="17"/>
      <c r="FY64" s="17"/>
      <c r="FZ64" s="17"/>
      <c r="GA64" s="17"/>
      <c r="GB64" s="17"/>
      <c r="GC64" s="17"/>
      <c r="GD64" s="13"/>
      <c r="GE64" s="13"/>
      <c r="GF64" s="13"/>
      <c r="GG64" s="13"/>
      <c r="GH64" s="13"/>
      <c r="GI64" s="13"/>
      <c r="GJ64" s="13"/>
      <c r="GK64" s="13"/>
    </row>
    <row r="65" spans="1:193" ht="18" customHeight="1">
      <c r="A65" s="18" t="str">
        <f t="shared" si="1"/>
        <v/>
      </c>
      <c r="B65" s="19"/>
      <c r="C65" s="20"/>
      <c r="D65" s="19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20"/>
      <c r="EQ65" s="20"/>
      <c r="ER65" s="20"/>
      <c r="ES65" s="20"/>
      <c r="ET65" s="20"/>
      <c r="EU65" s="20"/>
      <c r="EV65" s="20"/>
      <c r="EW65" s="20"/>
      <c r="EX65" s="20"/>
      <c r="EY65" s="20"/>
      <c r="EZ65" s="20"/>
      <c r="FA65" s="20"/>
      <c r="FB65" s="20"/>
      <c r="FC65" s="20"/>
      <c r="FD65" s="20"/>
      <c r="FE65" s="20"/>
      <c r="FF65" s="20"/>
      <c r="FG65" s="20"/>
      <c r="FH65" s="20"/>
      <c r="FI65" s="20"/>
      <c r="FJ65" s="20"/>
      <c r="FK65" s="20"/>
      <c r="FL65" s="20"/>
      <c r="FM65" s="20"/>
      <c r="FN65" s="20"/>
      <c r="FO65" s="20"/>
      <c r="FP65" s="20"/>
      <c r="FQ65" s="20"/>
      <c r="FR65" s="20"/>
      <c r="FS65" s="20"/>
      <c r="FT65" s="20"/>
      <c r="FU65" s="20"/>
      <c r="FV65" s="20"/>
      <c r="FW65" s="20"/>
      <c r="FX65" s="20"/>
      <c r="FY65" s="20"/>
      <c r="FZ65" s="20"/>
      <c r="GA65" s="20"/>
      <c r="GB65" s="20"/>
      <c r="GC65" s="20"/>
      <c r="GD65" s="20"/>
      <c r="GE65" s="20"/>
      <c r="GF65" s="20"/>
      <c r="GG65" s="20"/>
      <c r="GH65" s="20"/>
      <c r="GI65" s="20"/>
      <c r="GJ65" s="20"/>
      <c r="GK65" s="20"/>
    </row>
    <row r="66" spans="1:193" ht="18" customHeight="1">
      <c r="A66" s="9" t="str">
        <f t="shared" si="1"/>
        <v/>
      </c>
      <c r="B66" s="10"/>
      <c r="C66" s="11"/>
      <c r="D66" s="10"/>
      <c r="E66" s="11"/>
      <c r="F66" s="11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5"/>
      <c r="CN66" s="15"/>
      <c r="CO66" s="15"/>
      <c r="CP66" s="15"/>
      <c r="CQ66" s="15"/>
      <c r="CR66" s="15"/>
      <c r="CS66" s="15"/>
      <c r="CT66" s="15"/>
      <c r="CU66" s="15"/>
      <c r="CV66" s="15"/>
      <c r="CW66" s="15"/>
      <c r="CX66" s="15"/>
      <c r="CY66" s="15"/>
      <c r="CZ66" s="15"/>
      <c r="DA66" s="15"/>
      <c r="DB66" s="15"/>
      <c r="DC66" s="15"/>
      <c r="DD66" s="15"/>
      <c r="DE66" s="15"/>
      <c r="DF66" s="15"/>
      <c r="DG66" s="14"/>
      <c r="DH66" s="14"/>
      <c r="DI66" s="14"/>
      <c r="DJ66" s="14"/>
      <c r="DK66" s="14"/>
      <c r="DL66" s="14"/>
      <c r="DM66" s="14"/>
      <c r="DN66" s="14"/>
      <c r="DO66" s="14"/>
      <c r="DP66" s="14"/>
      <c r="DQ66" s="14"/>
      <c r="DR66" s="14"/>
      <c r="DS66" s="14"/>
      <c r="DT66" s="14"/>
      <c r="DU66" s="14"/>
      <c r="DV66" s="14"/>
      <c r="DW66" s="14"/>
      <c r="DX66" s="14"/>
      <c r="DY66" s="14"/>
      <c r="DZ66" s="14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6"/>
      <c r="EV66" s="16"/>
      <c r="EW66" s="16"/>
      <c r="EX66" s="16"/>
      <c r="EY66" s="16"/>
      <c r="EZ66" s="16"/>
      <c r="FA66" s="16"/>
      <c r="FB66" s="16"/>
      <c r="FC66" s="16"/>
      <c r="FD66" s="16"/>
      <c r="FE66" s="16"/>
      <c r="FF66" s="16"/>
      <c r="FG66" s="16"/>
      <c r="FH66" s="16"/>
      <c r="FI66" s="16"/>
      <c r="FJ66" s="16"/>
      <c r="FK66" s="16"/>
      <c r="FL66" s="16"/>
      <c r="FM66" s="16"/>
      <c r="FN66" s="16"/>
      <c r="FO66" s="17"/>
      <c r="FP66" s="17"/>
      <c r="FQ66" s="17"/>
      <c r="FR66" s="17"/>
      <c r="FS66" s="17"/>
      <c r="FT66" s="17"/>
      <c r="FU66" s="17"/>
      <c r="FV66" s="17"/>
      <c r="FW66" s="17"/>
      <c r="FX66" s="17"/>
      <c r="FY66" s="17"/>
      <c r="FZ66" s="17"/>
      <c r="GA66" s="17"/>
      <c r="GB66" s="17"/>
      <c r="GC66" s="17"/>
      <c r="GD66" s="13"/>
      <c r="GE66" s="13"/>
      <c r="GF66" s="13"/>
      <c r="GG66" s="13"/>
      <c r="GH66" s="13"/>
      <c r="GI66" s="13"/>
      <c r="GJ66" s="13"/>
      <c r="GK66" s="13"/>
    </row>
    <row r="67" spans="1:193" ht="18" customHeight="1">
      <c r="A67" s="18" t="str">
        <f t="shared" si="1"/>
        <v/>
      </c>
      <c r="B67" s="19"/>
      <c r="C67" s="20"/>
      <c r="D67" s="19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/>
      <c r="BX67" s="20"/>
      <c r="BY67" s="20"/>
      <c r="BZ67" s="20"/>
      <c r="CA67" s="20"/>
      <c r="CB67" s="20"/>
      <c r="CC67" s="20"/>
      <c r="CD67" s="20"/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20"/>
      <c r="EQ67" s="20"/>
      <c r="ER67" s="20"/>
      <c r="ES67" s="20"/>
      <c r="ET67" s="20"/>
      <c r="EU67" s="20"/>
      <c r="EV67" s="20"/>
      <c r="EW67" s="20"/>
      <c r="EX67" s="20"/>
      <c r="EY67" s="20"/>
      <c r="EZ67" s="20"/>
      <c r="FA67" s="20"/>
      <c r="FB67" s="20"/>
      <c r="FC67" s="20"/>
      <c r="FD67" s="20"/>
      <c r="FE67" s="20"/>
      <c r="FF67" s="20"/>
      <c r="FG67" s="20"/>
      <c r="FH67" s="20"/>
      <c r="FI67" s="20"/>
      <c r="FJ67" s="20"/>
      <c r="FK67" s="20"/>
      <c r="FL67" s="20"/>
      <c r="FM67" s="20"/>
      <c r="FN67" s="20"/>
      <c r="FO67" s="20"/>
      <c r="FP67" s="20"/>
      <c r="FQ67" s="20"/>
      <c r="FR67" s="20"/>
      <c r="FS67" s="20"/>
      <c r="FT67" s="20"/>
      <c r="FU67" s="20"/>
      <c r="FV67" s="20"/>
      <c r="FW67" s="20"/>
      <c r="FX67" s="20"/>
      <c r="FY67" s="20"/>
      <c r="FZ67" s="20"/>
      <c r="GA67" s="20"/>
      <c r="GB67" s="20"/>
      <c r="GC67" s="20"/>
      <c r="GD67" s="20"/>
      <c r="GE67" s="20"/>
      <c r="GF67" s="20"/>
      <c r="GG67" s="20"/>
      <c r="GH67" s="20"/>
      <c r="GI67" s="20"/>
      <c r="GJ67" s="20"/>
      <c r="GK67" s="20"/>
    </row>
    <row r="68" spans="1:193" ht="18" customHeight="1">
      <c r="A68" s="9" t="str">
        <f t="shared" si="1"/>
        <v/>
      </c>
      <c r="B68" s="10"/>
      <c r="C68" s="11"/>
      <c r="D68" s="10"/>
      <c r="E68" s="11"/>
      <c r="F68" s="11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  <c r="CK68" s="12"/>
      <c r="CL68" s="12"/>
      <c r="CM68" s="15"/>
      <c r="CN68" s="15"/>
      <c r="CO68" s="15"/>
      <c r="CP68" s="15"/>
      <c r="CQ68" s="15"/>
      <c r="CR68" s="15"/>
      <c r="CS68" s="15"/>
      <c r="CT68" s="15"/>
      <c r="CU68" s="15"/>
      <c r="CV68" s="15"/>
      <c r="CW68" s="15"/>
      <c r="CX68" s="15"/>
      <c r="CY68" s="15"/>
      <c r="CZ68" s="15"/>
      <c r="DA68" s="15"/>
      <c r="DB68" s="15"/>
      <c r="DC68" s="15"/>
      <c r="DD68" s="15"/>
      <c r="DE68" s="15"/>
      <c r="DF68" s="15"/>
      <c r="DG68" s="14"/>
      <c r="DH68" s="14"/>
      <c r="DI68" s="14"/>
      <c r="DJ68" s="14"/>
      <c r="DK68" s="14"/>
      <c r="DL68" s="14"/>
      <c r="DM68" s="14"/>
      <c r="DN68" s="14"/>
      <c r="DO68" s="14"/>
      <c r="DP68" s="14"/>
      <c r="DQ68" s="14"/>
      <c r="DR68" s="14"/>
      <c r="DS68" s="14"/>
      <c r="DT68" s="14"/>
      <c r="DU68" s="14"/>
      <c r="DV68" s="14"/>
      <c r="DW68" s="14"/>
      <c r="DX68" s="14"/>
      <c r="DY68" s="14"/>
      <c r="DZ68" s="14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6"/>
      <c r="EV68" s="16"/>
      <c r="EW68" s="16"/>
      <c r="EX68" s="16"/>
      <c r="EY68" s="16"/>
      <c r="EZ68" s="16"/>
      <c r="FA68" s="16"/>
      <c r="FB68" s="16"/>
      <c r="FC68" s="16"/>
      <c r="FD68" s="16"/>
      <c r="FE68" s="16"/>
      <c r="FF68" s="16"/>
      <c r="FG68" s="16"/>
      <c r="FH68" s="16"/>
      <c r="FI68" s="16"/>
      <c r="FJ68" s="16"/>
      <c r="FK68" s="16"/>
      <c r="FL68" s="16"/>
      <c r="FM68" s="16"/>
      <c r="FN68" s="16"/>
      <c r="FO68" s="17"/>
      <c r="FP68" s="17"/>
      <c r="FQ68" s="17"/>
      <c r="FR68" s="17"/>
      <c r="FS68" s="17"/>
      <c r="FT68" s="17"/>
      <c r="FU68" s="17"/>
      <c r="FV68" s="17"/>
      <c r="FW68" s="17"/>
      <c r="FX68" s="17"/>
      <c r="FY68" s="17"/>
      <c r="FZ68" s="17"/>
      <c r="GA68" s="17"/>
      <c r="GB68" s="17"/>
      <c r="GC68" s="17"/>
      <c r="GD68" s="13"/>
      <c r="GE68" s="13"/>
      <c r="GF68" s="13"/>
      <c r="GG68" s="13"/>
      <c r="GH68" s="13"/>
      <c r="GI68" s="13"/>
      <c r="GJ68" s="13"/>
      <c r="GK68" s="13"/>
    </row>
    <row r="69" spans="1:193" ht="18" customHeight="1">
      <c r="A69" s="18" t="str">
        <f t="shared" si="1"/>
        <v/>
      </c>
      <c r="B69" s="19"/>
      <c r="C69" s="20"/>
      <c r="D69" s="19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20"/>
      <c r="EQ69" s="20"/>
      <c r="ER69" s="20"/>
      <c r="ES69" s="20"/>
      <c r="ET69" s="20"/>
      <c r="EU69" s="20"/>
      <c r="EV69" s="20"/>
      <c r="EW69" s="20"/>
      <c r="EX69" s="20"/>
      <c r="EY69" s="20"/>
      <c r="EZ69" s="20"/>
      <c r="FA69" s="20"/>
      <c r="FB69" s="20"/>
      <c r="FC69" s="20"/>
      <c r="FD69" s="20"/>
      <c r="FE69" s="20"/>
      <c r="FF69" s="20"/>
      <c r="FG69" s="20"/>
      <c r="FH69" s="20"/>
      <c r="FI69" s="20"/>
      <c r="FJ69" s="20"/>
      <c r="FK69" s="20"/>
      <c r="FL69" s="20"/>
      <c r="FM69" s="20"/>
      <c r="FN69" s="20"/>
      <c r="FO69" s="20"/>
      <c r="FP69" s="20"/>
      <c r="FQ69" s="20"/>
      <c r="FR69" s="20"/>
      <c r="FS69" s="20"/>
      <c r="FT69" s="20"/>
      <c r="FU69" s="20"/>
      <c r="FV69" s="20"/>
      <c r="FW69" s="20"/>
      <c r="FX69" s="20"/>
      <c r="FY69" s="20"/>
      <c r="FZ69" s="20"/>
      <c r="GA69" s="20"/>
      <c r="GB69" s="20"/>
      <c r="GC69" s="20"/>
      <c r="GD69" s="20"/>
      <c r="GE69" s="20"/>
      <c r="GF69" s="20"/>
      <c r="GG69" s="20"/>
      <c r="GH69" s="20"/>
      <c r="GI69" s="20"/>
      <c r="GJ69" s="20"/>
      <c r="GK69" s="20"/>
    </row>
    <row r="70" spans="1:193" ht="18" customHeight="1">
      <c r="A70" s="9" t="str">
        <f t="shared" ref="A70:A101" si="2">IF(B70&lt;&gt;"","OBS-"&amp;TEXT(ROW()-5,"000"),"")</f>
        <v/>
      </c>
      <c r="B70" s="10"/>
      <c r="C70" s="11"/>
      <c r="D70" s="10"/>
      <c r="E70" s="11"/>
      <c r="F70" s="11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12"/>
      <c r="CL70" s="12"/>
      <c r="CM70" s="15"/>
      <c r="CN70" s="15"/>
      <c r="CO70" s="15"/>
      <c r="CP70" s="15"/>
      <c r="CQ70" s="15"/>
      <c r="CR70" s="15"/>
      <c r="CS70" s="15"/>
      <c r="CT70" s="15"/>
      <c r="CU70" s="15"/>
      <c r="CV70" s="15"/>
      <c r="CW70" s="15"/>
      <c r="CX70" s="15"/>
      <c r="CY70" s="15"/>
      <c r="CZ70" s="15"/>
      <c r="DA70" s="15"/>
      <c r="DB70" s="15"/>
      <c r="DC70" s="15"/>
      <c r="DD70" s="15"/>
      <c r="DE70" s="15"/>
      <c r="DF70" s="15"/>
      <c r="DG70" s="14"/>
      <c r="DH70" s="14"/>
      <c r="DI70" s="14"/>
      <c r="DJ70" s="14"/>
      <c r="DK70" s="14"/>
      <c r="DL70" s="14"/>
      <c r="DM70" s="14"/>
      <c r="DN70" s="14"/>
      <c r="DO70" s="14"/>
      <c r="DP70" s="14"/>
      <c r="DQ70" s="14"/>
      <c r="DR70" s="14"/>
      <c r="DS70" s="14"/>
      <c r="DT70" s="14"/>
      <c r="DU70" s="14"/>
      <c r="DV70" s="14"/>
      <c r="DW70" s="14"/>
      <c r="DX70" s="14"/>
      <c r="DY70" s="14"/>
      <c r="DZ70" s="14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6"/>
      <c r="EV70" s="16"/>
      <c r="EW70" s="16"/>
      <c r="EX70" s="16"/>
      <c r="EY70" s="16"/>
      <c r="EZ70" s="16"/>
      <c r="FA70" s="16"/>
      <c r="FB70" s="16"/>
      <c r="FC70" s="16"/>
      <c r="FD70" s="16"/>
      <c r="FE70" s="16"/>
      <c r="FF70" s="16"/>
      <c r="FG70" s="16"/>
      <c r="FH70" s="16"/>
      <c r="FI70" s="16"/>
      <c r="FJ70" s="16"/>
      <c r="FK70" s="16"/>
      <c r="FL70" s="16"/>
      <c r="FM70" s="16"/>
      <c r="FN70" s="16"/>
      <c r="FO70" s="17"/>
      <c r="FP70" s="17"/>
      <c r="FQ70" s="17"/>
      <c r="FR70" s="17"/>
      <c r="FS70" s="17"/>
      <c r="FT70" s="17"/>
      <c r="FU70" s="17"/>
      <c r="FV70" s="17"/>
      <c r="FW70" s="17"/>
      <c r="FX70" s="17"/>
      <c r="FY70" s="17"/>
      <c r="FZ70" s="17"/>
      <c r="GA70" s="17"/>
      <c r="GB70" s="17"/>
      <c r="GC70" s="17"/>
      <c r="GD70" s="13"/>
      <c r="GE70" s="13"/>
      <c r="GF70" s="13"/>
      <c r="GG70" s="13"/>
      <c r="GH70" s="13"/>
      <c r="GI70" s="13"/>
      <c r="GJ70" s="13"/>
      <c r="GK70" s="13"/>
    </row>
    <row r="71" spans="1:193" ht="18" customHeight="1">
      <c r="A71" s="18" t="str">
        <f t="shared" si="2"/>
        <v/>
      </c>
      <c r="B71" s="19"/>
      <c r="C71" s="20"/>
      <c r="D71" s="19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20"/>
      <c r="EQ71" s="20"/>
      <c r="ER71" s="20"/>
      <c r="ES71" s="20"/>
      <c r="ET71" s="20"/>
      <c r="EU71" s="20"/>
      <c r="EV71" s="20"/>
      <c r="EW71" s="20"/>
      <c r="EX71" s="20"/>
      <c r="EY71" s="20"/>
      <c r="EZ71" s="20"/>
      <c r="FA71" s="20"/>
      <c r="FB71" s="20"/>
      <c r="FC71" s="20"/>
      <c r="FD71" s="20"/>
      <c r="FE71" s="20"/>
      <c r="FF71" s="20"/>
      <c r="FG71" s="20"/>
      <c r="FH71" s="20"/>
      <c r="FI71" s="20"/>
      <c r="FJ71" s="20"/>
      <c r="FK71" s="20"/>
      <c r="FL71" s="20"/>
      <c r="FM71" s="20"/>
      <c r="FN71" s="20"/>
      <c r="FO71" s="20"/>
      <c r="FP71" s="20"/>
      <c r="FQ71" s="20"/>
      <c r="FR71" s="20"/>
      <c r="FS71" s="20"/>
      <c r="FT71" s="20"/>
      <c r="FU71" s="20"/>
      <c r="FV71" s="20"/>
      <c r="FW71" s="20"/>
      <c r="FX71" s="20"/>
      <c r="FY71" s="20"/>
      <c r="FZ71" s="20"/>
      <c r="GA71" s="20"/>
      <c r="GB71" s="20"/>
      <c r="GC71" s="20"/>
      <c r="GD71" s="20"/>
      <c r="GE71" s="20"/>
      <c r="GF71" s="20"/>
      <c r="GG71" s="20"/>
      <c r="GH71" s="20"/>
      <c r="GI71" s="20"/>
      <c r="GJ71" s="20"/>
      <c r="GK71" s="20"/>
    </row>
    <row r="72" spans="1:193" ht="18" customHeight="1">
      <c r="A72" s="9" t="str">
        <f t="shared" si="2"/>
        <v/>
      </c>
      <c r="B72" s="10"/>
      <c r="C72" s="11"/>
      <c r="D72" s="10"/>
      <c r="E72" s="11"/>
      <c r="F72" s="11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5"/>
      <c r="CN72" s="15"/>
      <c r="CO72" s="15"/>
      <c r="CP72" s="15"/>
      <c r="CQ72" s="15"/>
      <c r="CR72" s="15"/>
      <c r="CS72" s="15"/>
      <c r="CT72" s="15"/>
      <c r="CU72" s="15"/>
      <c r="CV72" s="15"/>
      <c r="CW72" s="15"/>
      <c r="CX72" s="15"/>
      <c r="CY72" s="15"/>
      <c r="CZ72" s="15"/>
      <c r="DA72" s="15"/>
      <c r="DB72" s="15"/>
      <c r="DC72" s="15"/>
      <c r="DD72" s="15"/>
      <c r="DE72" s="15"/>
      <c r="DF72" s="15"/>
      <c r="DG72" s="14"/>
      <c r="DH72" s="14"/>
      <c r="DI72" s="14"/>
      <c r="DJ72" s="14"/>
      <c r="DK72" s="14"/>
      <c r="DL72" s="14"/>
      <c r="DM72" s="14"/>
      <c r="DN72" s="14"/>
      <c r="DO72" s="14"/>
      <c r="DP72" s="14"/>
      <c r="DQ72" s="14"/>
      <c r="DR72" s="14"/>
      <c r="DS72" s="14"/>
      <c r="DT72" s="14"/>
      <c r="DU72" s="14"/>
      <c r="DV72" s="14"/>
      <c r="DW72" s="14"/>
      <c r="DX72" s="14"/>
      <c r="DY72" s="14"/>
      <c r="DZ72" s="14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6"/>
      <c r="EV72" s="16"/>
      <c r="EW72" s="16"/>
      <c r="EX72" s="16"/>
      <c r="EY72" s="16"/>
      <c r="EZ72" s="16"/>
      <c r="FA72" s="16"/>
      <c r="FB72" s="16"/>
      <c r="FC72" s="16"/>
      <c r="FD72" s="16"/>
      <c r="FE72" s="16"/>
      <c r="FF72" s="16"/>
      <c r="FG72" s="16"/>
      <c r="FH72" s="16"/>
      <c r="FI72" s="16"/>
      <c r="FJ72" s="16"/>
      <c r="FK72" s="16"/>
      <c r="FL72" s="16"/>
      <c r="FM72" s="16"/>
      <c r="FN72" s="16"/>
      <c r="FO72" s="17"/>
      <c r="FP72" s="17"/>
      <c r="FQ72" s="17"/>
      <c r="FR72" s="17"/>
      <c r="FS72" s="17"/>
      <c r="FT72" s="17"/>
      <c r="FU72" s="17"/>
      <c r="FV72" s="17"/>
      <c r="FW72" s="17"/>
      <c r="FX72" s="17"/>
      <c r="FY72" s="17"/>
      <c r="FZ72" s="17"/>
      <c r="GA72" s="17"/>
      <c r="GB72" s="17"/>
      <c r="GC72" s="17"/>
      <c r="GD72" s="13"/>
      <c r="GE72" s="13"/>
      <c r="GF72" s="13"/>
      <c r="GG72" s="13"/>
      <c r="GH72" s="13"/>
      <c r="GI72" s="13"/>
      <c r="GJ72" s="13"/>
      <c r="GK72" s="13"/>
    </row>
    <row r="73" spans="1:193" ht="18" customHeight="1">
      <c r="A73" s="18" t="str">
        <f t="shared" si="2"/>
        <v/>
      </c>
      <c r="B73" s="19"/>
      <c r="C73" s="20"/>
      <c r="D73" s="19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0"/>
      <c r="CC73" s="20"/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20"/>
      <c r="EQ73" s="20"/>
      <c r="ER73" s="20"/>
      <c r="ES73" s="20"/>
      <c r="ET73" s="20"/>
      <c r="EU73" s="20"/>
      <c r="EV73" s="20"/>
      <c r="EW73" s="20"/>
      <c r="EX73" s="20"/>
      <c r="EY73" s="20"/>
      <c r="EZ73" s="20"/>
      <c r="FA73" s="20"/>
      <c r="FB73" s="20"/>
      <c r="FC73" s="20"/>
      <c r="FD73" s="20"/>
      <c r="FE73" s="20"/>
      <c r="FF73" s="20"/>
      <c r="FG73" s="20"/>
      <c r="FH73" s="20"/>
      <c r="FI73" s="20"/>
      <c r="FJ73" s="20"/>
      <c r="FK73" s="20"/>
      <c r="FL73" s="20"/>
      <c r="FM73" s="20"/>
      <c r="FN73" s="20"/>
      <c r="FO73" s="20"/>
      <c r="FP73" s="20"/>
      <c r="FQ73" s="20"/>
      <c r="FR73" s="20"/>
      <c r="FS73" s="20"/>
      <c r="FT73" s="20"/>
      <c r="FU73" s="20"/>
      <c r="FV73" s="20"/>
      <c r="FW73" s="20"/>
      <c r="FX73" s="20"/>
      <c r="FY73" s="20"/>
      <c r="FZ73" s="20"/>
      <c r="GA73" s="20"/>
      <c r="GB73" s="20"/>
      <c r="GC73" s="20"/>
      <c r="GD73" s="20"/>
      <c r="GE73" s="20"/>
      <c r="GF73" s="20"/>
      <c r="GG73" s="20"/>
      <c r="GH73" s="20"/>
      <c r="GI73" s="20"/>
      <c r="GJ73" s="20"/>
      <c r="GK73" s="20"/>
    </row>
    <row r="74" spans="1:193" ht="18" customHeight="1">
      <c r="A74" s="9" t="str">
        <f t="shared" si="2"/>
        <v/>
      </c>
      <c r="B74" s="10"/>
      <c r="C74" s="11"/>
      <c r="D74" s="10"/>
      <c r="E74" s="11"/>
      <c r="F74" s="11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/>
      <c r="CH74" s="12"/>
      <c r="CI74" s="12"/>
      <c r="CJ74" s="12"/>
      <c r="CK74" s="12"/>
      <c r="CL74" s="12"/>
      <c r="CM74" s="15"/>
      <c r="CN74" s="15"/>
      <c r="CO74" s="15"/>
      <c r="CP74" s="15"/>
      <c r="CQ74" s="15"/>
      <c r="CR74" s="15"/>
      <c r="CS74" s="15"/>
      <c r="CT74" s="15"/>
      <c r="CU74" s="15"/>
      <c r="CV74" s="15"/>
      <c r="CW74" s="15"/>
      <c r="CX74" s="15"/>
      <c r="CY74" s="15"/>
      <c r="CZ74" s="15"/>
      <c r="DA74" s="15"/>
      <c r="DB74" s="15"/>
      <c r="DC74" s="15"/>
      <c r="DD74" s="15"/>
      <c r="DE74" s="15"/>
      <c r="DF74" s="15"/>
      <c r="DG74" s="14"/>
      <c r="DH74" s="14"/>
      <c r="DI74" s="14"/>
      <c r="DJ74" s="14"/>
      <c r="DK74" s="14"/>
      <c r="DL74" s="14"/>
      <c r="DM74" s="14"/>
      <c r="DN74" s="14"/>
      <c r="DO74" s="14"/>
      <c r="DP74" s="14"/>
      <c r="DQ74" s="14"/>
      <c r="DR74" s="14"/>
      <c r="DS74" s="14"/>
      <c r="DT74" s="14"/>
      <c r="DU74" s="14"/>
      <c r="DV74" s="14"/>
      <c r="DW74" s="14"/>
      <c r="DX74" s="14"/>
      <c r="DY74" s="14"/>
      <c r="DZ74" s="14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6"/>
      <c r="EV74" s="16"/>
      <c r="EW74" s="16"/>
      <c r="EX74" s="16"/>
      <c r="EY74" s="16"/>
      <c r="EZ74" s="16"/>
      <c r="FA74" s="16"/>
      <c r="FB74" s="16"/>
      <c r="FC74" s="16"/>
      <c r="FD74" s="16"/>
      <c r="FE74" s="16"/>
      <c r="FF74" s="16"/>
      <c r="FG74" s="16"/>
      <c r="FH74" s="16"/>
      <c r="FI74" s="16"/>
      <c r="FJ74" s="16"/>
      <c r="FK74" s="16"/>
      <c r="FL74" s="16"/>
      <c r="FM74" s="16"/>
      <c r="FN74" s="16"/>
      <c r="FO74" s="17"/>
      <c r="FP74" s="17"/>
      <c r="FQ74" s="17"/>
      <c r="FR74" s="17"/>
      <c r="FS74" s="17"/>
      <c r="FT74" s="17"/>
      <c r="FU74" s="17"/>
      <c r="FV74" s="17"/>
      <c r="FW74" s="17"/>
      <c r="FX74" s="17"/>
      <c r="FY74" s="17"/>
      <c r="FZ74" s="17"/>
      <c r="GA74" s="17"/>
      <c r="GB74" s="17"/>
      <c r="GC74" s="17"/>
      <c r="GD74" s="13"/>
      <c r="GE74" s="13"/>
      <c r="GF74" s="13"/>
      <c r="GG74" s="13"/>
      <c r="GH74" s="13"/>
      <c r="GI74" s="13"/>
      <c r="GJ74" s="13"/>
      <c r="GK74" s="13"/>
    </row>
    <row r="75" spans="1:193" ht="18" customHeight="1">
      <c r="A75" s="18" t="str">
        <f t="shared" si="2"/>
        <v/>
      </c>
      <c r="B75" s="19"/>
      <c r="C75" s="20"/>
      <c r="D75" s="19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0"/>
      <c r="CC75" s="20"/>
      <c r="CD75" s="20"/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20"/>
      <c r="EQ75" s="20"/>
      <c r="ER75" s="20"/>
      <c r="ES75" s="20"/>
      <c r="ET75" s="20"/>
      <c r="EU75" s="20"/>
      <c r="EV75" s="20"/>
      <c r="EW75" s="20"/>
      <c r="EX75" s="20"/>
      <c r="EY75" s="20"/>
      <c r="EZ75" s="20"/>
      <c r="FA75" s="20"/>
      <c r="FB75" s="20"/>
      <c r="FC75" s="20"/>
      <c r="FD75" s="20"/>
      <c r="FE75" s="20"/>
      <c r="FF75" s="20"/>
      <c r="FG75" s="20"/>
      <c r="FH75" s="20"/>
      <c r="FI75" s="20"/>
      <c r="FJ75" s="20"/>
      <c r="FK75" s="20"/>
      <c r="FL75" s="20"/>
      <c r="FM75" s="20"/>
      <c r="FN75" s="20"/>
      <c r="FO75" s="20"/>
      <c r="FP75" s="20"/>
      <c r="FQ75" s="20"/>
      <c r="FR75" s="20"/>
      <c r="FS75" s="20"/>
      <c r="FT75" s="20"/>
      <c r="FU75" s="20"/>
      <c r="FV75" s="20"/>
      <c r="FW75" s="20"/>
      <c r="FX75" s="20"/>
      <c r="FY75" s="20"/>
      <c r="FZ75" s="20"/>
      <c r="GA75" s="20"/>
      <c r="GB75" s="20"/>
      <c r="GC75" s="20"/>
      <c r="GD75" s="20"/>
      <c r="GE75" s="20"/>
      <c r="GF75" s="20"/>
      <c r="GG75" s="20"/>
      <c r="GH75" s="20"/>
      <c r="GI75" s="20"/>
      <c r="GJ75" s="20"/>
      <c r="GK75" s="20"/>
    </row>
    <row r="76" spans="1:193" ht="18" customHeight="1">
      <c r="A76" s="9" t="str">
        <f t="shared" si="2"/>
        <v/>
      </c>
      <c r="B76" s="10"/>
      <c r="C76" s="11"/>
      <c r="D76" s="10"/>
      <c r="E76" s="11"/>
      <c r="F76" s="11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  <c r="CF76" s="12"/>
      <c r="CG76" s="12"/>
      <c r="CH76" s="12"/>
      <c r="CI76" s="12"/>
      <c r="CJ76" s="12"/>
      <c r="CK76" s="12"/>
      <c r="CL76" s="12"/>
      <c r="CM76" s="15"/>
      <c r="CN76" s="15"/>
      <c r="CO76" s="15"/>
      <c r="CP76" s="15"/>
      <c r="CQ76" s="15"/>
      <c r="CR76" s="15"/>
      <c r="CS76" s="15"/>
      <c r="CT76" s="15"/>
      <c r="CU76" s="15"/>
      <c r="CV76" s="15"/>
      <c r="CW76" s="15"/>
      <c r="CX76" s="15"/>
      <c r="CY76" s="15"/>
      <c r="CZ76" s="15"/>
      <c r="DA76" s="15"/>
      <c r="DB76" s="15"/>
      <c r="DC76" s="15"/>
      <c r="DD76" s="15"/>
      <c r="DE76" s="15"/>
      <c r="DF76" s="15"/>
      <c r="DG76" s="14"/>
      <c r="DH76" s="14"/>
      <c r="DI76" s="14"/>
      <c r="DJ76" s="14"/>
      <c r="DK76" s="14"/>
      <c r="DL76" s="14"/>
      <c r="DM76" s="14"/>
      <c r="DN76" s="14"/>
      <c r="DO76" s="14"/>
      <c r="DP76" s="14"/>
      <c r="DQ76" s="14"/>
      <c r="DR76" s="14"/>
      <c r="DS76" s="14"/>
      <c r="DT76" s="14"/>
      <c r="DU76" s="14"/>
      <c r="DV76" s="14"/>
      <c r="DW76" s="14"/>
      <c r="DX76" s="14"/>
      <c r="DY76" s="14"/>
      <c r="DZ76" s="14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6"/>
      <c r="EV76" s="16"/>
      <c r="EW76" s="16"/>
      <c r="EX76" s="16"/>
      <c r="EY76" s="16"/>
      <c r="EZ76" s="16"/>
      <c r="FA76" s="16"/>
      <c r="FB76" s="16"/>
      <c r="FC76" s="16"/>
      <c r="FD76" s="16"/>
      <c r="FE76" s="16"/>
      <c r="FF76" s="16"/>
      <c r="FG76" s="16"/>
      <c r="FH76" s="16"/>
      <c r="FI76" s="16"/>
      <c r="FJ76" s="16"/>
      <c r="FK76" s="16"/>
      <c r="FL76" s="16"/>
      <c r="FM76" s="16"/>
      <c r="FN76" s="16"/>
      <c r="FO76" s="17"/>
      <c r="FP76" s="17"/>
      <c r="FQ76" s="17"/>
      <c r="FR76" s="17"/>
      <c r="FS76" s="17"/>
      <c r="FT76" s="17"/>
      <c r="FU76" s="17"/>
      <c r="FV76" s="17"/>
      <c r="FW76" s="17"/>
      <c r="FX76" s="17"/>
      <c r="FY76" s="17"/>
      <c r="FZ76" s="17"/>
      <c r="GA76" s="17"/>
      <c r="GB76" s="17"/>
      <c r="GC76" s="17"/>
      <c r="GD76" s="13"/>
      <c r="GE76" s="13"/>
      <c r="GF76" s="13"/>
      <c r="GG76" s="13"/>
      <c r="GH76" s="13"/>
      <c r="GI76" s="13"/>
      <c r="GJ76" s="13"/>
      <c r="GK76" s="13"/>
    </row>
    <row r="77" spans="1:193" ht="18" customHeight="1">
      <c r="A77" s="18" t="str">
        <f t="shared" si="2"/>
        <v/>
      </c>
      <c r="B77" s="19"/>
      <c r="C77" s="20"/>
      <c r="D77" s="19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20"/>
      <c r="EQ77" s="20"/>
      <c r="ER77" s="20"/>
      <c r="ES77" s="20"/>
      <c r="ET77" s="20"/>
      <c r="EU77" s="20"/>
      <c r="EV77" s="20"/>
      <c r="EW77" s="20"/>
      <c r="EX77" s="20"/>
      <c r="EY77" s="20"/>
      <c r="EZ77" s="20"/>
      <c r="FA77" s="20"/>
      <c r="FB77" s="20"/>
      <c r="FC77" s="20"/>
      <c r="FD77" s="20"/>
      <c r="FE77" s="20"/>
      <c r="FF77" s="20"/>
      <c r="FG77" s="20"/>
      <c r="FH77" s="20"/>
      <c r="FI77" s="20"/>
      <c r="FJ77" s="20"/>
      <c r="FK77" s="20"/>
      <c r="FL77" s="20"/>
      <c r="FM77" s="20"/>
      <c r="FN77" s="20"/>
      <c r="FO77" s="20"/>
      <c r="FP77" s="20"/>
      <c r="FQ77" s="20"/>
      <c r="FR77" s="20"/>
      <c r="FS77" s="20"/>
      <c r="FT77" s="20"/>
      <c r="FU77" s="20"/>
      <c r="FV77" s="20"/>
      <c r="FW77" s="20"/>
      <c r="FX77" s="20"/>
      <c r="FY77" s="20"/>
      <c r="FZ77" s="20"/>
      <c r="GA77" s="20"/>
      <c r="GB77" s="20"/>
      <c r="GC77" s="20"/>
      <c r="GD77" s="20"/>
      <c r="GE77" s="20"/>
      <c r="GF77" s="20"/>
      <c r="GG77" s="20"/>
      <c r="GH77" s="20"/>
      <c r="GI77" s="20"/>
      <c r="GJ77" s="20"/>
      <c r="GK77" s="20"/>
    </row>
    <row r="78" spans="1:193" ht="18" customHeight="1">
      <c r="A78" s="9" t="str">
        <f t="shared" si="2"/>
        <v/>
      </c>
      <c r="B78" s="10"/>
      <c r="C78" s="11"/>
      <c r="D78" s="10"/>
      <c r="E78" s="11"/>
      <c r="F78" s="11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/>
      <c r="CH78" s="12"/>
      <c r="CI78" s="12"/>
      <c r="CJ78" s="12"/>
      <c r="CK78" s="12"/>
      <c r="CL78" s="12"/>
      <c r="CM78" s="15"/>
      <c r="CN78" s="15"/>
      <c r="CO78" s="15"/>
      <c r="CP78" s="15"/>
      <c r="CQ78" s="15"/>
      <c r="CR78" s="15"/>
      <c r="CS78" s="15"/>
      <c r="CT78" s="15"/>
      <c r="CU78" s="15"/>
      <c r="CV78" s="15"/>
      <c r="CW78" s="15"/>
      <c r="CX78" s="15"/>
      <c r="CY78" s="15"/>
      <c r="CZ78" s="15"/>
      <c r="DA78" s="15"/>
      <c r="DB78" s="15"/>
      <c r="DC78" s="15"/>
      <c r="DD78" s="15"/>
      <c r="DE78" s="15"/>
      <c r="DF78" s="15"/>
      <c r="DG78" s="14"/>
      <c r="DH78" s="14"/>
      <c r="DI78" s="14"/>
      <c r="DJ78" s="14"/>
      <c r="DK78" s="14"/>
      <c r="DL78" s="14"/>
      <c r="DM78" s="14"/>
      <c r="DN78" s="14"/>
      <c r="DO78" s="14"/>
      <c r="DP78" s="14"/>
      <c r="DQ78" s="14"/>
      <c r="DR78" s="14"/>
      <c r="DS78" s="14"/>
      <c r="DT78" s="14"/>
      <c r="DU78" s="14"/>
      <c r="DV78" s="14"/>
      <c r="DW78" s="14"/>
      <c r="DX78" s="14"/>
      <c r="DY78" s="14"/>
      <c r="DZ78" s="14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6"/>
      <c r="EV78" s="16"/>
      <c r="EW78" s="16"/>
      <c r="EX78" s="16"/>
      <c r="EY78" s="16"/>
      <c r="EZ78" s="16"/>
      <c r="FA78" s="16"/>
      <c r="FB78" s="16"/>
      <c r="FC78" s="16"/>
      <c r="FD78" s="16"/>
      <c r="FE78" s="16"/>
      <c r="FF78" s="16"/>
      <c r="FG78" s="16"/>
      <c r="FH78" s="16"/>
      <c r="FI78" s="16"/>
      <c r="FJ78" s="16"/>
      <c r="FK78" s="16"/>
      <c r="FL78" s="16"/>
      <c r="FM78" s="16"/>
      <c r="FN78" s="16"/>
      <c r="FO78" s="17"/>
      <c r="FP78" s="17"/>
      <c r="FQ78" s="17"/>
      <c r="FR78" s="17"/>
      <c r="FS78" s="17"/>
      <c r="FT78" s="17"/>
      <c r="FU78" s="17"/>
      <c r="FV78" s="17"/>
      <c r="FW78" s="17"/>
      <c r="FX78" s="17"/>
      <c r="FY78" s="17"/>
      <c r="FZ78" s="17"/>
      <c r="GA78" s="17"/>
      <c r="GB78" s="17"/>
      <c r="GC78" s="17"/>
      <c r="GD78" s="13"/>
      <c r="GE78" s="13"/>
      <c r="GF78" s="13"/>
      <c r="GG78" s="13"/>
      <c r="GH78" s="13"/>
      <c r="GI78" s="13"/>
      <c r="GJ78" s="13"/>
      <c r="GK78" s="13"/>
    </row>
    <row r="79" spans="1:193" ht="18" customHeight="1">
      <c r="A79" s="18" t="str">
        <f t="shared" si="2"/>
        <v/>
      </c>
      <c r="B79" s="19"/>
      <c r="C79" s="20"/>
      <c r="D79" s="19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20"/>
      <c r="EQ79" s="20"/>
      <c r="ER79" s="20"/>
      <c r="ES79" s="20"/>
      <c r="ET79" s="20"/>
      <c r="EU79" s="20"/>
      <c r="EV79" s="20"/>
      <c r="EW79" s="20"/>
      <c r="EX79" s="20"/>
      <c r="EY79" s="20"/>
      <c r="EZ79" s="20"/>
      <c r="FA79" s="20"/>
      <c r="FB79" s="20"/>
      <c r="FC79" s="20"/>
      <c r="FD79" s="20"/>
      <c r="FE79" s="20"/>
      <c r="FF79" s="20"/>
      <c r="FG79" s="20"/>
      <c r="FH79" s="20"/>
      <c r="FI79" s="20"/>
      <c r="FJ79" s="20"/>
      <c r="FK79" s="20"/>
      <c r="FL79" s="20"/>
      <c r="FM79" s="20"/>
      <c r="FN79" s="20"/>
      <c r="FO79" s="20"/>
      <c r="FP79" s="20"/>
      <c r="FQ79" s="20"/>
      <c r="FR79" s="20"/>
      <c r="FS79" s="20"/>
      <c r="FT79" s="20"/>
      <c r="FU79" s="20"/>
      <c r="FV79" s="20"/>
      <c r="FW79" s="20"/>
      <c r="FX79" s="20"/>
      <c r="FY79" s="20"/>
      <c r="FZ79" s="20"/>
      <c r="GA79" s="20"/>
      <c r="GB79" s="20"/>
      <c r="GC79" s="20"/>
      <c r="GD79" s="20"/>
      <c r="GE79" s="20"/>
      <c r="GF79" s="20"/>
      <c r="GG79" s="20"/>
      <c r="GH79" s="20"/>
      <c r="GI79" s="20"/>
      <c r="GJ79" s="20"/>
      <c r="GK79" s="20"/>
    </row>
    <row r="80" spans="1:193" ht="18" customHeight="1">
      <c r="A80" s="9" t="str">
        <f t="shared" si="2"/>
        <v/>
      </c>
      <c r="B80" s="10"/>
      <c r="C80" s="11"/>
      <c r="D80" s="10"/>
      <c r="E80" s="11"/>
      <c r="F80" s="11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5"/>
      <c r="CN80" s="15"/>
      <c r="CO80" s="15"/>
      <c r="CP80" s="15"/>
      <c r="CQ80" s="15"/>
      <c r="CR80" s="15"/>
      <c r="CS80" s="15"/>
      <c r="CT80" s="15"/>
      <c r="CU80" s="15"/>
      <c r="CV80" s="15"/>
      <c r="CW80" s="15"/>
      <c r="CX80" s="15"/>
      <c r="CY80" s="15"/>
      <c r="CZ80" s="15"/>
      <c r="DA80" s="15"/>
      <c r="DB80" s="15"/>
      <c r="DC80" s="15"/>
      <c r="DD80" s="15"/>
      <c r="DE80" s="15"/>
      <c r="DF80" s="15"/>
      <c r="DG80" s="14"/>
      <c r="DH80" s="14"/>
      <c r="DI80" s="14"/>
      <c r="DJ80" s="14"/>
      <c r="DK80" s="14"/>
      <c r="DL80" s="14"/>
      <c r="DM80" s="14"/>
      <c r="DN80" s="14"/>
      <c r="DO80" s="14"/>
      <c r="DP80" s="14"/>
      <c r="DQ80" s="14"/>
      <c r="DR80" s="14"/>
      <c r="DS80" s="14"/>
      <c r="DT80" s="14"/>
      <c r="DU80" s="14"/>
      <c r="DV80" s="14"/>
      <c r="DW80" s="14"/>
      <c r="DX80" s="14"/>
      <c r="DY80" s="14"/>
      <c r="DZ80" s="14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6"/>
      <c r="EV80" s="16"/>
      <c r="EW80" s="16"/>
      <c r="EX80" s="16"/>
      <c r="EY80" s="16"/>
      <c r="EZ80" s="16"/>
      <c r="FA80" s="16"/>
      <c r="FB80" s="16"/>
      <c r="FC80" s="16"/>
      <c r="FD80" s="16"/>
      <c r="FE80" s="16"/>
      <c r="FF80" s="16"/>
      <c r="FG80" s="16"/>
      <c r="FH80" s="16"/>
      <c r="FI80" s="16"/>
      <c r="FJ80" s="16"/>
      <c r="FK80" s="16"/>
      <c r="FL80" s="16"/>
      <c r="FM80" s="16"/>
      <c r="FN80" s="16"/>
      <c r="FO80" s="17"/>
      <c r="FP80" s="17"/>
      <c r="FQ80" s="17"/>
      <c r="FR80" s="17"/>
      <c r="FS80" s="17"/>
      <c r="FT80" s="17"/>
      <c r="FU80" s="17"/>
      <c r="FV80" s="17"/>
      <c r="FW80" s="17"/>
      <c r="FX80" s="17"/>
      <c r="FY80" s="17"/>
      <c r="FZ80" s="17"/>
      <c r="GA80" s="17"/>
      <c r="GB80" s="17"/>
      <c r="GC80" s="17"/>
      <c r="GD80" s="13"/>
      <c r="GE80" s="13"/>
      <c r="GF80" s="13"/>
      <c r="GG80" s="13"/>
      <c r="GH80" s="13"/>
      <c r="GI80" s="13"/>
      <c r="GJ80" s="13"/>
      <c r="GK80" s="13"/>
    </row>
    <row r="81" spans="1:193" ht="18" customHeight="1">
      <c r="A81" s="18" t="str">
        <f t="shared" si="2"/>
        <v/>
      </c>
      <c r="B81" s="19"/>
      <c r="C81" s="20"/>
      <c r="D81" s="19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20"/>
      <c r="EQ81" s="20"/>
      <c r="ER81" s="20"/>
      <c r="ES81" s="20"/>
      <c r="ET81" s="20"/>
      <c r="EU81" s="20"/>
      <c r="EV81" s="20"/>
      <c r="EW81" s="20"/>
      <c r="EX81" s="20"/>
      <c r="EY81" s="20"/>
      <c r="EZ81" s="20"/>
      <c r="FA81" s="20"/>
      <c r="FB81" s="20"/>
      <c r="FC81" s="20"/>
      <c r="FD81" s="20"/>
      <c r="FE81" s="20"/>
      <c r="FF81" s="20"/>
      <c r="FG81" s="20"/>
      <c r="FH81" s="20"/>
      <c r="FI81" s="20"/>
      <c r="FJ81" s="20"/>
      <c r="FK81" s="20"/>
      <c r="FL81" s="20"/>
      <c r="FM81" s="20"/>
      <c r="FN81" s="20"/>
      <c r="FO81" s="20"/>
      <c r="FP81" s="20"/>
      <c r="FQ81" s="20"/>
      <c r="FR81" s="20"/>
      <c r="FS81" s="20"/>
      <c r="FT81" s="20"/>
      <c r="FU81" s="20"/>
      <c r="FV81" s="20"/>
      <c r="FW81" s="20"/>
      <c r="FX81" s="20"/>
      <c r="FY81" s="20"/>
      <c r="FZ81" s="20"/>
      <c r="GA81" s="20"/>
      <c r="GB81" s="20"/>
      <c r="GC81" s="20"/>
      <c r="GD81" s="20"/>
      <c r="GE81" s="20"/>
      <c r="GF81" s="20"/>
      <c r="GG81" s="20"/>
      <c r="GH81" s="20"/>
      <c r="GI81" s="20"/>
      <c r="GJ81" s="20"/>
      <c r="GK81" s="20"/>
    </row>
    <row r="82" spans="1:193" ht="18" customHeight="1">
      <c r="A82" s="9" t="str">
        <f t="shared" si="2"/>
        <v/>
      </c>
      <c r="B82" s="10"/>
      <c r="C82" s="11"/>
      <c r="D82" s="10"/>
      <c r="E82" s="11"/>
      <c r="F82" s="11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2"/>
      <c r="BT82" s="12"/>
      <c r="BU82" s="12"/>
      <c r="BV82" s="12"/>
      <c r="BW82" s="12"/>
      <c r="BX82" s="12"/>
      <c r="BY82" s="12"/>
      <c r="BZ82" s="12"/>
      <c r="CA82" s="12"/>
      <c r="CB82" s="12"/>
      <c r="CC82" s="12"/>
      <c r="CD82" s="12"/>
      <c r="CE82" s="12"/>
      <c r="CF82" s="12"/>
      <c r="CG82" s="12"/>
      <c r="CH82" s="12"/>
      <c r="CI82" s="12"/>
      <c r="CJ82" s="12"/>
      <c r="CK82" s="12"/>
      <c r="CL82" s="12"/>
      <c r="CM82" s="15"/>
      <c r="CN82" s="15"/>
      <c r="CO82" s="15"/>
      <c r="CP82" s="15"/>
      <c r="CQ82" s="15"/>
      <c r="CR82" s="15"/>
      <c r="CS82" s="15"/>
      <c r="CT82" s="15"/>
      <c r="CU82" s="15"/>
      <c r="CV82" s="15"/>
      <c r="CW82" s="15"/>
      <c r="CX82" s="15"/>
      <c r="CY82" s="15"/>
      <c r="CZ82" s="15"/>
      <c r="DA82" s="15"/>
      <c r="DB82" s="15"/>
      <c r="DC82" s="15"/>
      <c r="DD82" s="15"/>
      <c r="DE82" s="15"/>
      <c r="DF82" s="15"/>
      <c r="DG82" s="14"/>
      <c r="DH82" s="14"/>
      <c r="DI82" s="14"/>
      <c r="DJ82" s="14"/>
      <c r="DK82" s="14"/>
      <c r="DL82" s="14"/>
      <c r="DM82" s="14"/>
      <c r="DN82" s="14"/>
      <c r="DO82" s="14"/>
      <c r="DP82" s="14"/>
      <c r="DQ82" s="14"/>
      <c r="DR82" s="14"/>
      <c r="DS82" s="14"/>
      <c r="DT82" s="14"/>
      <c r="DU82" s="14"/>
      <c r="DV82" s="14"/>
      <c r="DW82" s="14"/>
      <c r="DX82" s="14"/>
      <c r="DY82" s="14"/>
      <c r="DZ82" s="14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6"/>
      <c r="EV82" s="16"/>
      <c r="EW82" s="16"/>
      <c r="EX82" s="16"/>
      <c r="EY82" s="16"/>
      <c r="EZ82" s="16"/>
      <c r="FA82" s="16"/>
      <c r="FB82" s="16"/>
      <c r="FC82" s="16"/>
      <c r="FD82" s="16"/>
      <c r="FE82" s="16"/>
      <c r="FF82" s="16"/>
      <c r="FG82" s="16"/>
      <c r="FH82" s="16"/>
      <c r="FI82" s="16"/>
      <c r="FJ82" s="16"/>
      <c r="FK82" s="16"/>
      <c r="FL82" s="16"/>
      <c r="FM82" s="16"/>
      <c r="FN82" s="16"/>
      <c r="FO82" s="17"/>
      <c r="FP82" s="17"/>
      <c r="FQ82" s="17"/>
      <c r="FR82" s="17"/>
      <c r="FS82" s="17"/>
      <c r="FT82" s="17"/>
      <c r="FU82" s="17"/>
      <c r="FV82" s="17"/>
      <c r="FW82" s="17"/>
      <c r="FX82" s="17"/>
      <c r="FY82" s="17"/>
      <c r="FZ82" s="17"/>
      <c r="GA82" s="17"/>
      <c r="GB82" s="17"/>
      <c r="GC82" s="17"/>
      <c r="GD82" s="13"/>
      <c r="GE82" s="13"/>
      <c r="GF82" s="13"/>
      <c r="GG82" s="13"/>
      <c r="GH82" s="13"/>
      <c r="GI82" s="13"/>
      <c r="GJ82" s="13"/>
      <c r="GK82" s="13"/>
    </row>
    <row r="83" spans="1:193" ht="18" customHeight="1">
      <c r="A83" s="18" t="str">
        <f t="shared" si="2"/>
        <v/>
      </c>
      <c r="B83" s="19"/>
      <c r="C83" s="20"/>
      <c r="D83" s="19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0"/>
      <c r="CC83" s="20"/>
      <c r="CD83" s="20"/>
      <c r="CE83" s="20"/>
      <c r="CF83" s="20"/>
      <c r="CG83" s="20"/>
      <c r="CH83" s="20"/>
      <c r="CI83" s="20"/>
      <c r="CJ83" s="20"/>
      <c r="CK83" s="20"/>
      <c r="CL83" s="20"/>
      <c r="CM83" s="20"/>
      <c r="CN83" s="20"/>
      <c r="CO83" s="20"/>
      <c r="CP83" s="20"/>
      <c r="CQ83" s="20"/>
      <c r="CR83" s="20"/>
      <c r="CS83" s="20"/>
      <c r="CT83" s="20"/>
      <c r="CU83" s="20"/>
      <c r="CV83" s="20"/>
      <c r="CW83" s="20"/>
      <c r="CX83" s="20"/>
      <c r="CY83" s="20"/>
      <c r="CZ83" s="20"/>
      <c r="DA83" s="20"/>
      <c r="DB83" s="20"/>
      <c r="DC83" s="20"/>
      <c r="DD83" s="20"/>
      <c r="DE83" s="20"/>
      <c r="DF83" s="20"/>
      <c r="DG83" s="20"/>
      <c r="DH83" s="20"/>
      <c r="DI83" s="20"/>
      <c r="DJ83" s="20"/>
      <c r="DK83" s="20"/>
      <c r="DL83" s="20"/>
      <c r="DM83" s="20"/>
      <c r="DN83" s="20"/>
      <c r="DO83" s="20"/>
      <c r="DP83" s="20"/>
      <c r="DQ83" s="20"/>
      <c r="DR83" s="20"/>
      <c r="DS83" s="20"/>
      <c r="DT83" s="20"/>
      <c r="DU83" s="20"/>
      <c r="DV83" s="20"/>
      <c r="DW83" s="20"/>
      <c r="DX83" s="20"/>
      <c r="DY83" s="20"/>
      <c r="DZ83" s="20"/>
      <c r="EA83" s="20"/>
      <c r="EB83" s="20"/>
      <c r="EC83" s="20"/>
      <c r="ED83" s="20"/>
      <c r="EE83" s="20"/>
      <c r="EF83" s="20"/>
      <c r="EG83" s="20"/>
      <c r="EH83" s="20"/>
      <c r="EI83" s="20"/>
      <c r="EJ83" s="20"/>
      <c r="EK83" s="20"/>
      <c r="EL83" s="20"/>
      <c r="EM83" s="20"/>
      <c r="EN83" s="20"/>
      <c r="EO83" s="20"/>
      <c r="EP83" s="20"/>
      <c r="EQ83" s="20"/>
      <c r="ER83" s="20"/>
      <c r="ES83" s="20"/>
      <c r="ET83" s="20"/>
      <c r="EU83" s="20"/>
      <c r="EV83" s="20"/>
      <c r="EW83" s="20"/>
      <c r="EX83" s="20"/>
      <c r="EY83" s="20"/>
      <c r="EZ83" s="20"/>
      <c r="FA83" s="20"/>
      <c r="FB83" s="20"/>
      <c r="FC83" s="20"/>
      <c r="FD83" s="20"/>
      <c r="FE83" s="20"/>
      <c r="FF83" s="20"/>
      <c r="FG83" s="20"/>
      <c r="FH83" s="20"/>
      <c r="FI83" s="20"/>
      <c r="FJ83" s="20"/>
      <c r="FK83" s="20"/>
      <c r="FL83" s="20"/>
      <c r="FM83" s="20"/>
      <c r="FN83" s="20"/>
      <c r="FO83" s="20"/>
      <c r="FP83" s="20"/>
      <c r="FQ83" s="20"/>
      <c r="FR83" s="20"/>
      <c r="FS83" s="20"/>
      <c r="FT83" s="20"/>
      <c r="FU83" s="20"/>
      <c r="FV83" s="20"/>
      <c r="FW83" s="20"/>
      <c r="FX83" s="20"/>
      <c r="FY83" s="20"/>
      <c r="FZ83" s="20"/>
      <c r="GA83" s="20"/>
      <c r="GB83" s="20"/>
      <c r="GC83" s="20"/>
      <c r="GD83" s="20"/>
      <c r="GE83" s="20"/>
      <c r="GF83" s="20"/>
      <c r="GG83" s="20"/>
      <c r="GH83" s="20"/>
      <c r="GI83" s="20"/>
      <c r="GJ83" s="20"/>
      <c r="GK83" s="20"/>
    </row>
    <row r="84" spans="1:193" ht="18" customHeight="1">
      <c r="A84" s="9" t="str">
        <f t="shared" si="2"/>
        <v/>
      </c>
      <c r="B84" s="10"/>
      <c r="C84" s="11"/>
      <c r="D84" s="10"/>
      <c r="E84" s="11"/>
      <c r="F84" s="11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D84" s="12"/>
      <c r="CE84" s="12"/>
      <c r="CF84" s="12"/>
      <c r="CG84" s="12"/>
      <c r="CH84" s="12"/>
      <c r="CI84" s="12"/>
      <c r="CJ84" s="12"/>
      <c r="CK84" s="12"/>
      <c r="CL84" s="12"/>
      <c r="CM84" s="15"/>
      <c r="CN84" s="15"/>
      <c r="CO84" s="15"/>
      <c r="CP84" s="15"/>
      <c r="CQ84" s="15"/>
      <c r="CR84" s="15"/>
      <c r="CS84" s="15"/>
      <c r="CT84" s="15"/>
      <c r="CU84" s="15"/>
      <c r="CV84" s="15"/>
      <c r="CW84" s="15"/>
      <c r="CX84" s="15"/>
      <c r="CY84" s="15"/>
      <c r="CZ84" s="15"/>
      <c r="DA84" s="15"/>
      <c r="DB84" s="15"/>
      <c r="DC84" s="15"/>
      <c r="DD84" s="15"/>
      <c r="DE84" s="15"/>
      <c r="DF84" s="15"/>
      <c r="DG84" s="14"/>
      <c r="DH84" s="14"/>
      <c r="DI84" s="14"/>
      <c r="DJ84" s="14"/>
      <c r="DK84" s="14"/>
      <c r="DL84" s="14"/>
      <c r="DM84" s="14"/>
      <c r="DN84" s="14"/>
      <c r="DO84" s="14"/>
      <c r="DP84" s="14"/>
      <c r="DQ84" s="14"/>
      <c r="DR84" s="14"/>
      <c r="DS84" s="14"/>
      <c r="DT84" s="14"/>
      <c r="DU84" s="14"/>
      <c r="DV84" s="14"/>
      <c r="DW84" s="14"/>
      <c r="DX84" s="14"/>
      <c r="DY84" s="14"/>
      <c r="DZ84" s="14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6"/>
      <c r="EV84" s="16"/>
      <c r="EW84" s="16"/>
      <c r="EX84" s="16"/>
      <c r="EY84" s="16"/>
      <c r="EZ84" s="16"/>
      <c r="FA84" s="16"/>
      <c r="FB84" s="16"/>
      <c r="FC84" s="16"/>
      <c r="FD84" s="16"/>
      <c r="FE84" s="16"/>
      <c r="FF84" s="16"/>
      <c r="FG84" s="16"/>
      <c r="FH84" s="16"/>
      <c r="FI84" s="16"/>
      <c r="FJ84" s="16"/>
      <c r="FK84" s="16"/>
      <c r="FL84" s="16"/>
      <c r="FM84" s="16"/>
      <c r="FN84" s="16"/>
      <c r="FO84" s="17"/>
      <c r="FP84" s="17"/>
      <c r="FQ84" s="17"/>
      <c r="FR84" s="17"/>
      <c r="FS84" s="17"/>
      <c r="FT84" s="17"/>
      <c r="FU84" s="17"/>
      <c r="FV84" s="17"/>
      <c r="FW84" s="17"/>
      <c r="FX84" s="17"/>
      <c r="FY84" s="17"/>
      <c r="FZ84" s="17"/>
      <c r="GA84" s="17"/>
      <c r="GB84" s="17"/>
      <c r="GC84" s="17"/>
      <c r="GD84" s="13"/>
      <c r="GE84" s="13"/>
      <c r="GF84" s="13"/>
      <c r="GG84" s="13"/>
      <c r="GH84" s="13"/>
      <c r="GI84" s="13"/>
      <c r="GJ84" s="13"/>
      <c r="GK84" s="13"/>
    </row>
    <row r="85" spans="1:193" ht="18" customHeight="1">
      <c r="A85" s="18" t="str">
        <f t="shared" si="2"/>
        <v/>
      </c>
      <c r="B85" s="19"/>
      <c r="C85" s="20"/>
      <c r="D85" s="19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0"/>
      <c r="CC85" s="20"/>
      <c r="CD85" s="20"/>
      <c r="CE85" s="20"/>
      <c r="CF85" s="20"/>
      <c r="CG85" s="20"/>
      <c r="CH85" s="20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20"/>
      <c r="CV85" s="20"/>
      <c r="CW85" s="20"/>
      <c r="CX85" s="20"/>
      <c r="CY85" s="20"/>
      <c r="CZ85" s="20"/>
      <c r="DA85" s="20"/>
      <c r="DB85" s="20"/>
      <c r="DC85" s="20"/>
      <c r="DD85" s="20"/>
      <c r="DE85" s="20"/>
      <c r="DF85" s="20"/>
      <c r="DG85" s="20"/>
      <c r="DH85" s="20"/>
      <c r="DI85" s="20"/>
      <c r="DJ85" s="20"/>
      <c r="DK85" s="20"/>
      <c r="DL85" s="20"/>
      <c r="DM85" s="20"/>
      <c r="DN85" s="20"/>
      <c r="DO85" s="20"/>
      <c r="DP85" s="20"/>
      <c r="DQ85" s="20"/>
      <c r="DR85" s="20"/>
      <c r="DS85" s="20"/>
      <c r="DT85" s="20"/>
      <c r="DU85" s="20"/>
      <c r="DV85" s="20"/>
      <c r="DW85" s="20"/>
      <c r="DX85" s="20"/>
      <c r="DY85" s="20"/>
      <c r="DZ85" s="20"/>
      <c r="EA85" s="20"/>
      <c r="EB85" s="20"/>
      <c r="EC85" s="20"/>
      <c r="ED85" s="20"/>
      <c r="EE85" s="20"/>
      <c r="EF85" s="20"/>
      <c r="EG85" s="20"/>
      <c r="EH85" s="20"/>
      <c r="EI85" s="20"/>
      <c r="EJ85" s="20"/>
      <c r="EK85" s="20"/>
      <c r="EL85" s="20"/>
      <c r="EM85" s="20"/>
      <c r="EN85" s="20"/>
      <c r="EO85" s="20"/>
      <c r="EP85" s="20"/>
      <c r="EQ85" s="20"/>
      <c r="ER85" s="20"/>
      <c r="ES85" s="20"/>
      <c r="ET85" s="20"/>
      <c r="EU85" s="20"/>
      <c r="EV85" s="20"/>
      <c r="EW85" s="20"/>
      <c r="EX85" s="20"/>
      <c r="EY85" s="20"/>
      <c r="EZ85" s="20"/>
      <c r="FA85" s="20"/>
      <c r="FB85" s="20"/>
      <c r="FC85" s="20"/>
      <c r="FD85" s="20"/>
      <c r="FE85" s="20"/>
      <c r="FF85" s="20"/>
      <c r="FG85" s="20"/>
      <c r="FH85" s="20"/>
      <c r="FI85" s="20"/>
      <c r="FJ85" s="20"/>
      <c r="FK85" s="20"/>
      <c r="FL85" s="20"/>
      <c r="FM85" s="20"/>
      <c r="FN85" s="20"/>
      <c r="FO85" s="20"/>
      <c r="FP85" s="20"/>
      <c r="FQ85" s="20"/>
      <c r="FR85" s="20"/>
      <c r="FS85" s="20"/>
      <c r="FT85" s="20"/>
      <c r="FU85" s="20"/>
      <c r="FV85" s="20"/>
      <c r="FW85" s="20"/>
      <c r="FX85" s="20"/>
      <c r="FY85" s="20"/>
      <c r="FZ85" s="20"/>
      <c r="GA85" s="20"/>
      <c r="GB85" s="20"/>
      <c r="GC85" s="20"/>
      <c r="GD85" s="20"/>
      <c r="GE85" s="20"/>
      <c r="GF85" s="20"/>
      <c r="GG85" s="20"/>
      <c r="GH85" s="20"/>
      <c r="GI85" s="20"/>
      <c r="GJ85" s="20"/>
      <c r="GK85" s="20"/>
    </row>
    <row r="86" spans="1:193" ht="18" customHeight="1">
      <c r="A86" s="9" t="str">
        <f t="shared" si="2"/>
        <v/>
      </c>
      <c r="B86" s="10"/>
      <c r="C86" s="11"/>
      <c r="D86" s="10"/>
      <c r="E86" s="11"/>
      <c r="F86" s="11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12"/>
      <c r="CD86" s="12"/>
      <c r="CE86" s="12"/>
      <c r="CF86" s="12"/>
      <c r="CG86" s="12"/>
      <c r="CH86" s="12"/>
      <c r="CI86" s="12"/>
      <c r="CJ86" s="12"/>
      <c r="CK86" s="12"/>
      <c r="CL86" s="12"/>
      <c r="CM86" s="15"/>
      <c r="CN86" s="15"/>
      <c r="CO86" s="15"/>
      <c r="CP86" s="15"/>
      <c r="CQ86" s="15"/>
      <c r="CR86" s="15"/>
      <c r="CS86" s="15"/>
      <c r="CT86" s="15"/>
      <c r="CU86" s="15"/>
      <c r="CV86" s="15"/>
      <c r="CW86" s="15"/>
      <c r="CX86" s="15"/>
      <c r="CY86" s="15"/>
      <c r="CZ86" s="15"/>
      <c r="DA86" s="15"/>
      <c r="DB86" s="15"/>
      <c r="DC86" s="15"/>
      <c r="DD86" s="15"/>
      <c r="DE86" s="15"/>
      <c r="DF86" s="15"/>
      <c r="DG86" s="14"/>
      <c r="DH86" s="14"/>
      <c r="DI86" s="14"/>
      <c r="DJ86" s="14"/>
      <c r="DK86" s="14"/>
      <c r="DL86" s="14"/>
      <c r="DM86" s="14"/>
      <c r="DN86" s="14"/>
      <c r="DO86" s="14"/>
      <c r="DP86" s="14"/>
      <c r="DQ86" s="14"/>
      <c r="DR86" s="14"/>
      <c r="DS86" s="14"/>
      <c r="DT86" s="14"/>
      <c r="DU86" s="14"/>
      <c r="DV86" s="14"/>
      <c r="DW86" s="14"/>
      <c r="DX86" s="14"/>
      <c r="DY86" s="14"/>
      <c r="DZ86" s="14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6"/>
      <c r="EV86" s="16"/>
      <c r="EW86" s="16"/>
      <c r="EX86" s="16"/>
      <c r="EY86" s="16"/>
      <c r="EZ86" s="16"/>
      <c r="FA86" s="16"/>
      <c r="FB86" s="16"/>
      <c r="FC86" s="16"/>
      <c r="FD86" s="16"/>
      <c r="FE86" s="16"/>
      <c r="FF86" s="16"/>
      <c r="FG86" s="16"/>
      <c r="FH86" s="16"/>
      <c r="FI86" s="16"/>
      <c r="FJ86" s="16"/>
      <c r="FK86" s="16"/>
      <c r="FL86" s="16"/>
      <c r="FM86" s="16"/>
      <c r="FN86" s="16"/>
      <c r="FO86" s="17"/>
      <c r="FP86" s="17"/>
      <c r="FQ86" s="17"/>
      <c r="FR86" s="17"/>
      <c r="FS86" s="17"/>
      <c r="FT86" s="17"/>
      <c r="FU86" s="17"/>
      <c r="FV86" s="17"/>
      <c r="FW86" s="17"/>
      <c r="FX86" s="17"/>
      <c r="FY86" s="17"/>
      <c r="FZ86" s="17"/>
      <c r="GA86" s="17"/>
      <c r="GB86" s="17"/>
      <c r="GC86" s="17"/>
      <c r="GD86" s="13"/>
      <c r="GE86" s="13"/>
      <c r="GF86" s="13"/>
      <c r="GG86" s="13"/>
      <c r="GH86" s="13"/>
      <c r="GI86" s="13"/>
      <c r="GJ86" s="13"/>
      <c r="GK86" s="13"/>
    </row>
    <row r="87" spans="1:193" ht="18" customHeight="1">
      <c r="A87" s="18" t="str">
        <f t="shared" si="2"/>
        <v/>
      </c>
      <c r="B87" s="19"/>
      <c r="C87" s="20"/>
      <c r="D87" s="19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20"/>
      <c r="BQ87" s="20"/>
      <c r="BR87" s="20"/>
      <c r="BS87" s="20"/>
      <c r="BT87" s="20"/>
      <c r="BU87" s="20"/>
      <c r="BV87" s="20"/>
      <c r="BW87" s="20"/>
      <c r="BX87" s="20"/>
      <c r="BY87" s="20"/>
      <c r="BZ87" s="20"/>
      <c r="CA87" s="20"/>
      <c r="CB87" s="20"/>
      <c r="CC87" s="20"/>
      <c r="CD87" s="20"/>
      <c r="CE87" s="20"/>
      <c r="CF87" s="20"/>
      <c r="CG87" s="20"/>
      <c r="CH87" s="20"/>
      <c r="CI87" s="20"/>
      <c r="CJ87" s="20"/>
      <c r="CK87" s="20"/>
      <c r="CL87" s="20"/>
      <c r="CM87" s="20"/>
      <c r="CN87" s="20"/>
      <c r="CO87" s="20"/>
      <c r="CP87" s="20"/>
      <c r="CQ87" s="20"/>
      <c r="CR87" s="20"/>
      <c r="CS87" s="20"/>
      <c r="CT87" s="20"/>
      <c r="CU87" s="20"/>
      <c r="CV87" s="20"/>
      <c r="CW87" s="20"/>
      <c r="CX87" s="20"/>
      <c r="CY87" s="20"/>
      <c r="CZ87" s="20"/>
      <c r="DA87" s="20"/>
      <c r="DB87" s="20"/>
      <c r="DC87" s="20"/>
      <c r="DD87" s="20"/>
      <c r="DE87" s="20"/>
      <c r="DF87" s="20"/>
      <c r="DG87" s="20"/>
      <c r="DH87" s="20"/>
      <c r="DI87" s="20"/>
      <c r="DJ87" s="20"/>
      <c r="DK87" s="20"/>
      <c r="DL87" s="20"/>
      <c r="DM87" s="20"/>
      <c r="DN87" s="20"/>
      <c r="DO87" s="20"/>
      <c r="DP87" s="20"/>
      <c r="DQ87" s="20"/>
      <c r="DR87" s="20"/>
      <c r="DS87" s="20"/>
      <c r="DT87" s="20"/>
      <c r="DU87" s="20"/>
      <c r="DV87" s="20"/>
      <c r="DW87" s="20"/>
      <c r="DX87" s="20"/>
      <c r="DY87" s="20"/>
      <c r="DZ87" s="20"/>
      <c r="EA87" s="20"/>
      <c r="EB87" s="20"/>
      <c r="EC87" s="20"/>
      <c r="ED87" s="20"/>
      <c r="EE87" s="20"/>
      <c r="EF87" s="20"/>
      <c r="EG87" s="20"/>
      <c r="EH87" s="20"/>
      <c r="EI87" s="20"/>
      <c r="EJ87" s="20"/>
      <c r="EK87" s="20"/>
      <c r="EL87" s="20"/>
      <c r="EM87" s="20"/>
      <c r="EN87" s="20"/>
      <c r="EO87" s="20"/>
      <c r="EP87" s="20"/>
      <c r="EQ87" s="20"/>
      <c r="ER87" s="20"/>
      <c r="ES87" s="20"/>
      <c r="ET87" s="20"/>
      <c r="EU87" s="20"/>
      <c r="EV87" s="20"/>
      <c r="EW87" s="20"/>
      <c r="EX87" s="20"/>
      <c r="EY87" s="20"/>
      <c r="EZ87" s="20"/>
      <c r="FA87" s="20"/>
      <c r="FB87" s="20"/>
      <c r="FC87" s="20"/>
      <c r="FD87" s="20"/>
      <c r="FE87" s="20"/>
      <c r="FF87" s="20"/>
      <c r="FG87" s="20"/>
      <c r="FH87" s="20"/>
      <c r="FI87" s="20"/>
      <c r="FJ87" s="20"/>
      <c r="FK87" s="20"/>
      <c r="FL87" s="20"/>
      <c r="FM87" s="20"/>
      <c r="FN87" s="20"/>
      <c r="FO87" s="20"/>
      <c r="FP87" s="20"/>
      <c r="FQ87" s="20"/>
      <c r="FR87" s="20"/>
      <c r="FS87" s="20"/>
      <c r="FT87" s="20"/>
      <c r="FU87" s="20"/>
      <c r="FV87" s="20"/>
      <c r="FW87" s="20"/>
      <c r="FX87" s="20"/>
      <c r="FY87" s="20"/>
      <c r="FZ87" s="20"/>
      <c r="GA87" s="20"/>
      <c r="GB87" s="20"/>
      <c r="GC87" s="20"/>
      <c r="GD87" s="20"/>
      <c r="GE87" s="20"/>
      <c r="GF87" s="20"/>
      <c r="GG87" s="20"/>
      <c r="GH87" s="20"/>
      <c r="GI87" s="20"/>
      <c r="GJ87" s="20"/>
      <c r="GK87" s="20"/>
    </row>
    <row r="88" spans="1:193" ht="18" customHeight="1">
      <c r="A88" s="9" t="str">
        <f t="shared" si="2"/>
        <v/>
      </c>
      <c r="B88" s="10"/>
      <c r="C88" s="11"/>
      <c r="D88" s="10"/>
      <c r="E88" s="11"/>
      <c r="F88" s="11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  <c r="CD88" s="12"/>
      <c r="CE88" s="12"/>
      <c r="CF88" s="12"/>
      <c r="CG88" s="12"/>
      <c r="CH88" s="12"/>
      <c r="CI88" s="12"/>
      <c r="CJ88" s="12"/>
      <c r="CK88" s="12"/>
      <c r="CL88" s="12"/>
      <c r="CM88" s="15"/>
      <c r="CN88" s="15"/>
      <c r="CO88" s="15"/>
      <c r="CP88" s="15"/>
      <c r="CQ88" s="15"/>
      <c r="CR88" s="15"/>
      <c r="CS88" s="15"/>
      <c r="CT88" s="15"/>
      <c r="CU88" s="15"/>
      <c r="CV88" s="15"/>
      <c r="CW88" s="15"/>
      <c r="CX88" s="15"/>
      <c r="CY88" s="15"/>
      <c r="CZ88" s="15"/>
      <c r="DA88" s="15"/>
      <c r="DB88" s="15"/>
      <c r="DC88" s="15"/>
      <c r="DD88" s="15"/>
      <c r="DE88" s="15"/>
      <c r="DF88" s="15"/>
      <c r="DG88" s="14"/>
      <c r="DH88" s="14"/>
      <c r="DI88" s="14"/>
      <c r="DJ88" s="14"/>
      <c r="DK88" s="14"/>
      <c r="DL88" s="14"/>
      <c r="DM88" s="14"/>
      <c r="DN88" s="14"/>
      <c r="DO88" s="14"/>
      <c r="DP88" s="14"/>
      <c r="DQ88" s="14"/>
      <c r="DR88" s="14"/>
      <c r="DS88" s="14"/>
      <c r="DT88" s="14"/>
      <c r="DU88" s="14"/>
      <c r="DV88" s="14"/>
      <c r="DW88" s="14"/>
      <c r="DX88" s="14"/>
      <c r="DY88" s="14"/>
      <c r="DZ88" s="14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6"/>
      <c r="EV88" s="16"/>
      <c r="EW88" s="16"/>
      <c r="EX88" s="16"/>
      <c r="EY88" s="16"/>
      <c r="EZ88" s="16"/>
      <c r="FA88" s="16"/>
      <c r="FB88" s="16"/>
      <c r="FC88" s="16"/>
      <c r="FD88" s="16"/>
      <c r="FE88" s="16"/>
      <c r="FF88" s="16"/>
      <c r="FG88" s="16"/>
      <c r="FH88" s="16"/>
      <c r="FI88" s="16"/>
      <c r="FJ88" s="16"/>
      <c r="FK88" s="16"/>
      <c r="FL88" s="16"/>
      <c r="FM88" s="16"/>
      <c r="FN88" s="16"/>
      <c r="FO88" s="17"/>
      <c r="FP88" s="17"/>
      <c r="FQ88" s="17"/>
      <c r="FR88" s="17"/>
      <c r="FS88" s="17"/>
      <c r="FT88" s="17"/>
      <c r="FU88" s="17"/>
      <c r="FV88" s="17"/>
      <c r="FW88" s="17"/>
      <c r="FX88" s="17"/>
      <c r="FY88" s="17"/>
      <c r="FZ88" s="17"/>
      <c r="GA88" s="17"/>
      <c r="GB88" s="17"/>
      <c r="GC88" s="17"/>
      <c r="GD88" s="13"/>
      <c r="GE88" s="13"/>
      <c r="GF88" s="13"/>
      <c r="GG88" s="13"/>
      <c r="GH88" s="13"/>
      <c r="GI88" s="13"/>
      <c r="GJ88" s="13"/>
      <c r="GK88" s="13"/>
    </row>
    <row r="89" spans="1:193" ht="18" customHeight="1">
      <c r="A89" s="18" t="str">
        <f t="shared" si="2"/>
        <v/>
      </c>
      <c r="B89" s="19"/>
      <c r="C89" s="20"/>
      <c r="D89" s="19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  <c r="BJ89" s="20"/>
      <c r="BK89" s="20"/>
      <c r="BL89" s="20"/>
      <c r="BM89" s="20"/>
      <c r="BN89" s="20"/>
      <c r="BO89" s="20"/>
      <c r="BP89" s="20"/>
      <c r="BQ89" s="20"/>
      <c r="BR89" s="20"/>
      <c r="BS89" s="20"/>
      <c r="BT89" s="20"/>
      <c r="BU89" s="20"/>
      <c r="BV89" s="20"/>
      <c r="BW89" s="20"/>
      <c r="BX89" s="20"/>
      <c r="BY89" s="20"/>
      <c r="BZ89" s="20"/>
      <c r="CA89" s="20"/>
      <c r="CB89" s="20"/>
      <c r="CC89" s="20"/>
      <c r="CD89" s="20"/>
      <c r="CE89" s="20"/>
      <c r="CF89" s="20"/>
      <c r="CG89" s="20"/>
      <c r="CH89" s="20"/>
      <c r="CI89" s="20"/>
      <c r="CJ89" s="20"/>
      <c r="CK89" s="20"/>
      <c r="CL89" s="20"/>
      <c r="CM89" s="20"/>
      <c r="CN89" s="20"/>
      <c r="CO89" s="20"/>
      <c r="CP89" s="20"/>
      <c r="CQ89" s="20"/>
      <c r="CR89" s="20"/>
      <c r="CS89" s="20"/>
      <c r="CT89" s="20"/>
      <c r="CU89" s="20"/>
      <c r="CV89" s="20"/>
      <c r="CW89" s="20"/>
      <c r="CX89" s="20"/>
      <c r="CY89" s="20"/>
      <c r="CZ89" s="20"/>
      <c r="DA89" s="20"/>
      <c r="DB89" s="20"/>
      <c r="DC89" s="20"/>
      <c r="DD89" s="20"/>
      <c r="DE89" s="20"/>
      <c r="DF89" s="20"/>
      <c r="DG89" s="20"/>
      <c r="DH89" s="20"/>
      <c r="DI89" s="20"/>
      <c r="DJ89" s="20"/>
      <c r="DK89" s="20"/>
      <c r="DL89" s="20"/>
      <c r="DM89" s="20"/>
      <c r="DN89" s="20"/>
      <c r="DO89" s="20"/>
      <c r="DP89" s="20"/>
      <c r="DQ89" s="20"/>
      <c r="DR89" s="20"/>
      <c r="DS89" s="20"/>
      <c r="DT89" s="20"/>
      <c r="DU89" s="20"/>
      <c r="DV89" s="20"/>
      <c r="DW89" s="20"/>
      <c r="DX89" s="20"/>
      <c r="DY89" s="20"/>
      <c r="DZ89" s="20"/>
      <c r="EA89" s="20"/>
      <c r="EB89" s="20"/>
      <c r="EC89" s="20"/>
      <c r="ED89" s="20"/>
      <c r="EE89" s="20"/>
      <c r="EF89" s="20"/>
      <c r="EG89" s="20"/>
      <c r="EH89" s="20"/>
      <c r="EI89" s="20"/>
      <c r="EJ89" s="20"/>
      <c r="EK89" s="20"/>
      <c r="EL89" s="20"/>
      <c r="EM89" s="20"/>
      <c r="EN89" s="20"/>
      <c r="EO89" s="20"/>
      <c r="EP89" s="20"/>
      <c r="EQ89" s="20"/>
      <c r="ER89" s="20"/>
      <c r="ES89" s="20"/>
      <c r="ET89" s="20"/>
      <c r="EU89" s="20"/>
      <c r="EV89" s="20"/>
      <c r="EW89" s="20"/>
      <c r="EX89" s="20"/>
      <c r="EY89" s="20"/>
      <c r="EZ89" s="20"/>
      <c r="FA89" s="20"/>
      <c r="FB89" s="20"/>
      <c r="FC89" s="20"/>
      <c r="FD89" s="20"/>
      <c r="FE89" s="20"/>
      <c r="FF89" s="20"/>
      <c r="FG89" s="20"/>
      <c r="FH89" s="20"/>
      <c r="FI89" s="20"/>
      <c r="FJ89" s="20"/>
      <c r="FK89" s="20"/>
      <c r="FL89" s="20"/>
      <c r="FM89" s="20"/>
      <c r="FN89" s="20"/>
      <c r="FO89" s="20"/>
      <c r="FP89" s="20"/>
      <c r="FQ89" s="20"/>
      <c r="FR89" s="20"/>
      <c r="FS89" s="20"/>
      <c r="FT89" s="20"/>
      <c r="FU89" s="20"/>
      <c r="FV89" s="20"/>
      <c r="FW89" s="20"/>
      <c r="FX89" s="20"/>
      <c r="FY89" s="20"/>
      <c r="FZ89" s="20"/>
      <c r="GA89" s="20"/>
      <c r="GB89" s="20"/>
      <c r="GC89" s="20"/>
      <c r="GD89" s="20"/>
      <c r="GE89" s="20"/>
      <c r="GF89" s="20"/>
      <c r="GG89" s="20"/>
      <c r="GH89" s="20"/>
      <c r="GI89" s="20"/>
      <c r="GJ89" s="20"/>
      <c r="GK89" s="20"/>
    </row>
    <row r="90" spans="1:193" ht="18" customHeight="1">
      <c r="A90" s="9" t="str">
        <f t="shared" si="2"/>
        <v/>
      </c>
      <c r="B90" s="10"/>
      <c r="C90" s="11"/>
      <c r="D90" s="10"/>
      <c r="E90" s="11"/>
      <c r="F90" s="11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15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/>
      <c r="CK90" s="12"/>
      <c r="CL90" s="12"/>
      <c r="CM90" s="15"/>
      <c r="CN90" s="15"/>
      <c r="CO90" s="15"/>
      <c r="CP90" s="15"/>
      <c r="CQ90" s="15"/>
      <c r="CR90" s="15"/>
      <c r="CS90" s="15"/>
      <c r="CT90" s="15"/>
      <c r="CU90" s="15"/>
      <c r="CV90" s="15"/>
      <c r="CW90" s="15"/>
      <c r="CX90" s="15"/>
      <c r="CY90" s="15"/>
      <c r="CZ90" s="15"/>
      <c r="DA90" s="15"/>
      <c r="DB90" s="15"/>
      <c r="DC90" s="15"/>
      <c r="DD90" s="15"/>
      <c r="DE90" s="15"/>
      <c r="DF90" s="15"/>
      <c r="DG90" s="14"/>
      <c r="DH90" s="14"/>
      <c r="DI90" s="14"/>
      <c r="DJ90" s="14"/>
      <c r="DK90" s="14"/>
      <c r="DL90" s="14"/>
      <c r="DM90" s="14"/>
      <c r="DN90" s="14"/>
      <c r="DO90" s="14"/>
      <c r="DP90" s="14"/>
      <c r="DQ90" s="14"/>
      <c r="DR90" s="14"/>
      <c r="DS90" s="14"/>
      <c r="DT90" s="14"/>
      <c r="DU90" s="14"/>
      <c r="DV90" s="14"/>
      <c r="DW90" s="14"/>
      <c r="DX90" s="14"/>
      <c r="DY90" s="14"/>
      <c r="DZ90" s="14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6"/>
      <c r="EV90" s="16"/>
      <c r="EW90" s="16"/>
      <c r="EX90" s="16"/>
      <c r="EY90" s="16"/>
      <c r="EZ90" s="16"/>
      <c r="FA90" s="16"/>
      <c r="FB90" s="16"/>
      <c r="FC90" s="16"/>
      <c r="FD90" s="16"/>
      <c r="FE90" s="16"/>
      <c r="FF90" s="16"/>
      <c r="FG90" s="16"/>
      <c r="FH90" s="16"/>
      <c r="FI90" s="16"/>
      <c r="FJ90" s="16"/>
      <c r="FK90" s="16"/>
      <c r="FL90" s="16"/>
      <c r="FM90" s="16"/>
      <c r="FN90" s="16"/>
      <c r="FO90" s="17"/>
      <c r="FP90" s="17"/>
      <c r="FQ90" s="17"/>
      <c r="FR90" s="17"/>
      <c r="FS90" s="17"/>
      <c r="FT90" s="17"/>
      <c r="FU90" s="17"/>
      <c r="FV90" s="17"/>
      <c r="FW90" s="17"/>
      <c r="FX90" s="17"/>
      <c r="FY90" s="17"/>
      <c r="FZ90" s="17"/>
      <c r="GA90" s="17"/>
      <c r="GB90" s="17"/>
      <c r="GC90" s="17"/>
      <c r="GD90" s="13"/>
      <c r="GE90" s="13"/>
      <c r="GF90" s="13"/>
      <c r="GG90" s="13"/>
      <c r="GH90" s="13"/>
      <c r="GI90" s="13"/>
      <c r="GJ90" s="13"/>
      <c r="GK90" s="13"/>
    </row>
    <row r="91" spans="1:193" ht="18" customHeight="1">
      <c r="A91" s="18" t="str">
        <f t="shared" si="2"/>
        <v/>
      </c>
      <c r="B91" s="19"/>
      <c r="C91" s="20"/>
      <c r="D91" s="19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0"/>
      <c r="BI91" s="20"/>
      <c r="BJ91" s="20"/>
      <c r="BK91" s="20"/>
      <c r="BL91" s="20"/>
      <c r="BM91" s="20"/>
      <c r="BN91" s="20"/>
      <c r="BO91" s="20"/>
      <c r="BP91" s="20"/>
      <c r="BQ91" s="20"/>
      <c r="BR91" s="20"/>
      <c r="BS91" s="20"/>
      <c r="BT91" s="20"/>
      <c r="BU91" s="20"/>
      <c r="BV91" s="20"/>
      <c r="BW91" s="20"/>
      <c r="BX91" s="20"/>
      <c r="BY91" s="20"/>
      <c r="BZ91" s="20"/>
      <c r="CA91" s="20"/>
      <c r="CB91" s="20"/>
      <c r="CC91" s="20"/>
      <c r="CD91" s="20"/>
      <c r="CE91" s="20"/>
      <c r="CF91" s="20"/>
      <c r="CG91" s="20"/>
      <c r="CH91" s="20"/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20"/>
      <c r="CT91" s="20"/>
      <c r="CU91" s="20"/>
      <c r="CV91" s="20"/>
      <c r="CW91" s="20"/>
      <c r="CX91" s="20"/>
      <c r="CY91" s="20"/>
      <c r="CZ91" s="20"/>
      <c r="DA91" s="20"/>
      <c r="DB91" s="20"/>
      <c r="DC91" s="20"/>
      <c r="DD91" s="20"/>
      <c r="DE91" s="20"/>
      <c r="DF91" s="20"/>
      <c r="DG91" s="20"/>
      <c r="DH91" s="20"/>
      <c r="DI91" s="20"/>
      <c r="DJ91" s="20"/>
      <c r="DK91" s="20"/>
      <c r="DL91" s="20"/>
      <c r="DM91" s="20"/>
      <c r="DN91" s="20"/>
      <c r="DO91" s="20"/>
      <c r="DP91" s="20"/>
      <c r="DQ91" s="20"/>
      <c r="DR91" s="20"/>
      <c r="DS91" s="20"/>
      <c r="DT91" s="20"/>
      <c r="DU91" s="20"/>
      <c r="DV91" s="20"/>
      <c r="DW91" s="20"/>
      <c r="DX91" s="20"/>
      <c r="DY91" s="20"/>
      <c r="DZ91" s="20"/>
      <c r="EA91" s="20"/>
      <c r="EB91" s="20"/>
      <c r="EC91" s="20"/>
      <c r="ED91" s="20"/>
      <c r="EE91" s="20"/>
      <c r="EF91" s="20"/>
      <c r="EG91" s="20"/>
      <c r="EH91" s="20"/>
      <c r="EI91" s="20"/>
      <c r="EJ91" s="20"/>
      <c r="EK91" s="20"/>
      <c r="EL91" s="20"/>
      <c r="EM91" s="20"/>
      <c r="EN91" s="20"/>
      <c r="EO91" s="20"/>
      <c r="EP91" s="20"/>
      <c r="EQ91" s="20"/>
      <c r="ER91" s="20"/>
      <c r="ES91" s="20"/>
      <c r="ET91" s="20"/>
      <c r="EU91" s="20"/>
      <c r="EV91" s="20"/>
      <c r="EW91" s="20"/>
      <c r="EX91" s="20"/>
      <c r="EY91" s="20"/>
      <c r="EZ91" s="20"/>
      <c r="FA91" s="20"/>
      <c r="FB91" s="20"/>
      <c r="FC91" s="20"/>
      <c r="FD91" s="20"/>
      <c r="FE91" s="20"/>
      <c r="FF91" s="20"/>
      <c r="FG91" s="20"/>
      <c r="FH91" s="20"/>
      <c r="FI91" s="20"/>
      <c r="FJ91" s="20"/>
      <c r="FK91" s="20"/>
      <c r="FL91" s="20"/>
      <c r="FM91" s="20"/>
      <c r="FN91" s="20"/>
      <c r="FO91" s="20"/>
      <c r="FP91" s="20"/>
      <c r="FQ91" s="20"/>
      <c r="FR91" s="20"/>
      <c r="FS91" s="20"/>
      <c r="FT91" s="20"/>
      <c r="FU91" s="20"/>
      <c r="FV91" s="20"/>
      <c r="FW91" s="20"/>
      <c r="FX91" s="20"/>
      <c r="FY91" s="20"/>
      <c r="FZ91" s="20"/>
      <c r="GA91" s="20"/>
      <c r="GB91" s="20"/>
      <c r="GC91" s="20"/>
      <c r="GD91" s="20"/>
      <c r="GE91" s="20"/>
      <c r="GF91" s="20"/>
      <c r="GG91" s="20"/>
      <c r="GH91" s="20"/>
      <c r="GI91" s="20"/>
      <c r="GJ91" s="20"/>
      <c r="GK91" s="20"/>
    </row>
    <row r="92" spans="1:193" ht="18" customHeight="1">
      <c r="A92" s="9" t="str">
        <f t="shared" si="2"/>
        <v/>
      </c>
      <c r="B92" s="10"/>
      <c r="C92" s="11"/>
      <c r="D92" s="10"/>
      <c r="E92" s="11"/>
      <c r="F92" s="11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12"/>
      <c r="CM92" s="15"/>
      <c r="CN92" s="15"/>
      <c r="CO92" s="15"/>
      <c r="CP92" s="15"/>
      <c r="CQ92" s="15"/>
      <c r="CR92" s="15"/>
      <c r="CS92" s="15"/>
      <c r="CT92" s="15"/>
      <c r="CU92" s="15"/>
      <c r="CV92" s="15"/>
      <c r="CW92" s="15"/>
      <c r="CX92" s="15"/>
      <c r="CY92" s="15"/>
      <c r="CZ92" s="15"/>
      <c r="DA92" s="15"/>
      <c r="DB92" s="15"/>
      <c r="DC92" s="15"/>
      <c r="DD92" s="15"/>
      <c r="DE92" s="15"/>
      <c r="DF92" s="15"/>
      <c r="DG92" s="14"/>
      <c r="DH92" s="14"/>
      <c r="DI92" s="14"/>
      <c r="DJ92" s="14"/>
      <c r="DK92" s="14"/>
      <c r="DL92" s="14"/>
      <c r="DM92" s="14"/>
      <c r="DN92" s="14"/>
      <c r="DO92" s="14"/>
      <c r="DP92" s="14"/>
      <c r="DQ92" s="14"/>
      <c r="DR92" s="14"/>
      <c r="DS92" s="14"/>
      <c r="DT92" s="14"/>
      <c r="DU92" s="14"/>
      <c r="DV92" s="14"/>
      <c r="DW92" s="14"/>
      <c r="DX92" s="14"/>
      <c r="DY92" s="14"/>
      <c r="DZ92" s="14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6"/>
      <c r="EV92" s="16"/>
      <c r="EW92" s="16"/>
      <c r="EX92" s="16"/>
      <c r="EY92" s="16"/>
      <c r="EZ92" s="16"/>
      <c r="FA92" s="16"/>
      <c r="FB92" s="16"/>
      <c r="FC92" s="16"/>
      <c r="FD92" s="16"/>
      <c r="FE92" s="16"/>
      <c r="FF92" s="16"/>
      <c r="FG92" s="16"/>
      <c r="FH92" s="16"/>
      <c r="FI92" s="16"/>
      <c r="FJ92" s="16"/>
      <c r="FK92" s="16"/>
      <c r="FL92" s="16"/>
      <c r="FM92" s="16"/>
      <c r="FN92" s="16"/>
      <c r="FO92" s="17"/>
      <c r="FP92" s="17"/>
      <c r="FQ92" s="17"/>
      <c r="FR92" s="17"/>
      <c r="FS92" s="17"/>
      <c r="FT92" s="17"/>
      <c r="FU92" s="17"/>
      <c r="FV92" s="17"/>
      <c r="FW92" s="17"/>
      <c r="FX92" s="17"/>
      <c r="FY92" s="17"/>
      <c r="FZ92" s="17"/>
      <c r="GA92" s="17"/>
      <c r="GB92" s="17"/>
      <c r="GC92" s="17"/>
      <c r="GD92" s="13"/>
      <c r="GE92" s="13"/>
      <c r="GF92" s="13"/>
      <c r="GG92" s="13"/>
      <c r="GH92" s="13"/>
      <c r="GI92" s="13"/>
      <c r="GJ92" s="13"/>
      <c r="GK92" s="13"/>
    </row>
    <row r="93" spans="1:193" ht="18" customHeight="1">
      <c r="A93" s="18" t="str">
        <f t="shared" si="2"/>
        <v/>
      </c>
      <c r="B93" s="19"/>
      <c r="C93" s="20"/>
      <c r="D93" s="19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  <c r="BX93" s="20"/>
      <c r="BY93" s="20"/>
      <c r="BZ93" s="20"/>
      <c r="CA93" s="20"/>
      <c r="CB93" s="20"/>
      <c r="CC93" s="20"/>
      <c r="CD93" s="20"/>
      <c r="CE93" s="20"/>
      <c r="CF93" s="20"/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/>
      <c r="DB93" s="20"/>
      <c r="DC93" s="20"/>
      <c r="DD93" s="20"/>
      <c r="DE93" s="20"/>
      <c r="DF93" s="20"/>
      <c r="DG93" s="20"/>
      <c r="DH93" s="20"/>
      <c r="DI93" s="20"/>
      <c r="DJ93" s="20"/>
      <c r="DK93" s="20"/>
      <c r="DL93" s="20"/>
      <c r="DM93" s="20"/>
      <c r="DN93" s="20"/>
      <c r="DO93" s="20"/>
      <c r="DP93" s="20"/>
      <c r="DQ93" s="20"/>
      <c r="DR93" s="20"/>
      <c r="DS93" s="20"/>
      <c r="DT93" s="20"/>
      <c r="DU93" s="20"/>
      <c r="DV93" s="20"/>
      <c r="DW93" s="20"/>
      <c r="DX93" s="20"/>
      <c r="DY93" s="20"/>
      <c r="DZ93" s="20"/>
      <c r="EA93" s="20"/>
      <c r="EB93" s="20"/>
      <c r="EC93" s="20"/>
      <c r="ED93" s="20"/>
      <c r="EE93" s="20"/>
      <c r="EF93" s="20"/>
      <c r="EG93" s="20"/>
      <c r="EH93" s="20"/>
      <c r="EI93" s="20"/>
      <c r="EJ93" s="20"/>
      <c r="EK93" s="20"/>
      <c r="EL93" s="20"/>
      <c r="EM93" s="20"/>
      <c r="EN93" s="20"/>
      <c r="EO93" s="20"/>
      <c r="EP93" s="20"/>
      <c r="EQ93" s="20"/>
      <c r="ER93" s="20"/>
      <c r="ES93" s="20"/>
      <c r="ET93" s="20"/>
      <c r="EU93" s="20"/>
      <c r="EV93" s="20"/>
      <c r="EW93" s="20"/>
      <c r="EX93" s="20"/>
      <c r="EY93" s="20"/>
      <c r="EZ93" s="20"/>
      <c r="FA93" s="20"/>
      <c r="FB93" s="20"/>
      <c r="FC93" s="20"/>
      <c r="FD93" s="20"/>
      <c r="FE93" s="20"/>
      <c r="FF93" s="20"/>
      <c r="FG93" s="20"/>
      <c r="FH93" s="20"/>
      <c r="FI93" s="20"/>
      <c r="FJ93" s="20"/>
      <c r="FK93" s="20"/>
      <c r="FL93" s="20"/>
      <c r="FM93" s="20"/>
      <c r="FN93" s="20"/>
      <c r="FO93" s="20"/>
      <c r="FP93" s="20"/>
      <c r="FQ93" s="20"/>
      <c r="FR93" s="20"/>
      <c r="FS93" s="20"/>
      <c r="FT93" s="20"/>
      <c r="FU93" s="20"/>
      <c r="FV93" s="20"/>
      <c r="FW93" s="20"/>
      <c r="FX93" s="20"/>
      <c r="FY93" s="20"/>
      <c r="FZ93" s="20"/>
      <c r="GA93" s="20"/>
      <c r="GB93" s="20"/>
      <c r="GC93" s="20"/>
      <c r="GD93" s="20"/>
      <c r="GE93" s="20"/>
      <c r="GF93" s="20"/>
      <c r="GG93" s="20"/>
      <c r="GH93" s="20"/>
      <c r="GI93" s="20"/>
      <c r="GJ93" s="20"/>
      <c r="GK93" s="20"/>
    </row>
    <row r="94" spans="1:193" ht="18" customHeight="1">
      <c r="A94" s="9" t="str">
        <f t="shared" si="2"/>
        <v/>
      </c>
      <c r="B94" s="10"/>
      <c r="C94" s="11"/>
      <c r="D94" s="10"/>
      <c r="E94" s="11"/>
      <c r="F94" s="11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  <c r="CM94" s="15"/>
      <c r="CN94" s="15"/>
      <c r="CO94" s="15"/>
      <c r="CP94" s="15"/>
      <c r="CQ94" s="15"/>
      <c r="CR94" s="15"/>
      <c r="CS94" s="15"/>
      <c r="CT94" s="15"/>
      <c r="CU94" s="15"/>
      <c r="CV94" s="15"/>
      <c r="CW94" s="15"/>
      <c r="CX94" s="15"/>
      <c r="CY94" s="15"/>
      <c r="CZ94" s="15"/>
      <c r="DA94" s="15"/>
      <c r="DB94" s="15"/>
      <c r="DC94" s="15"/>
      <c r="DD94" s="15"/>
      <c r="DE94" s="15"/>
      <c r="DF94" s="15"/>
      <c r="DG94" s="14"/>
      <c r="DH94" s="14"/>
      <c r="DI94" s="14"/>
      <c r="DJ94" s="14"/>
      <c r="DK94" s="14"/>
      <c r="DL94" s="14"/>
      <c r="DM94" s="14"/>
      <c r="DN94" s="14"/>
      <c r="DO94" s="14"/>
      <c r="DP94" s="14"/>
      <c r="DQ94" s="14"/>
      <c r="DR94" s="14"/>
      <c r="DS94" s="14"/>
      <c r="DT94" s="14"/>
      <c r="DU94" s="14"/>
      <c r="DV94" s="14"/>
      <c r="DW94" s="14"/>
      <c r="DX94" s="14"/>
      <c r="DY94" s="14"/>
      <c r="DZ94" s="14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6"/>
      <c r="EV94" s="16"/>
      <c r="EW94" s="16"/>
      <c r="EX94" s="16"/>
      <c r="EY94" s="16"/>
      <c r="EZ94" s="16"/>
      <c r="FA94" s="16"/>
      <c r="FB94" s="16"/>
      <c r="FC94" s="16"/>
      <c r="FD94" s="16"/>
      <c r="FE94" s="16"/>
      <c r="FF94" s="16"/>
      <c r="FG94" s="16"/>
      <c r="FH94" s="16"/>
      <c r="FI94" s="16"/>
      <c r="FJ94" s="16"/>
      <c r="FK94" s="16"/>
      <c r="FL94" s="16"/>
      <c r="FM94" s="16"/>
      <c r="FN94" s="16"/>
      <c r="FO94" s="17"/>
      <c r="FP94" s="17"/>
      <c r="FQ94" s="17"/>
      <c r="FR94" s="17"/>
      <c r="FS94" s="17"/>
      <c r="FT94" s="17"/>
      <c r="FU94" s="17"/>
      <c r="FV94" s="17"/>
      <c r="FW94" s="17"/>
      <c r="FX94" s="17"/>
      <c r="FY94" s="17"/>
      <c r="FZ94" s="17"/>
      <c r="GA94" s="17"/>
      <c r="GB94" s="17"/>
      <c r="GC94" s="17"/>
      <c r="GD94" s="13"/>
      <c r="GE94" s="13"/>
      <c r="GF94" s="13"/>
      <c r="GG94" s="13"/>
      <c r="GH94" s="13"/>
      <c r="GI94" s="13"/>
      <c r="GJ94" s="13"/>
      <c r="GK94" s="13"/>
    </row>
    <row r="95" spans="1:193" ht="18" customHeight="1">
      <c r="A95" s="18" t="str">
        <f t="shared" si="2"/>
        <v/>
      </c>
      <c r="B95" s="19"/>
      <c r="C95" s="20"/>
      <c r="D95" s="19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  <c r="BS95" s="20"/>
      <c r="BT95" s="20"/>
      <c r="BU95" s="20"/>
      <c r="BV95" s="20"/>
      <c r="BW95" s="20"/>
      <c r="BX95" s="20"/>
      <c r="BY95" s="20"/>
      <c r="BZ95" s="20"/>
      <c r="CA95" s="20"/>
      <c r="CB95" s="20"/>
      <c r="CC95" s="20"/>
      <c r="CD95" s="20"/>
      <c r="CE95" s="20"/>
      <c r="CF95" s="20"/>
      <c r="CG95" s="20"/>
      <c r="CH95" s="20"/>
      <c r="CI95" s="20"/>
      <c r="CJ95" s="20"/>
      <c r="CK95" s="20"/>
      <c r="CL95" s="20"/>
      <c r="CM95" s="20"/>
      <c r="CN95" s="20"/>
      <c r="CO95" s="20"/>
      <c r="CP95" s="20"/>
      <c r="CQ95" s="20"/>
      <c r="CR95" s="20"/>
      <c r="CS95" s="20"/>
      <c r="CT95" s="20"/>
      <c r="CU95" s="20"/>
      <c r="CV95" s="20"/>
      <c r="CW95" s="20"/>
      <c r="CX95" s="20"/>
      <c r="CY95" s="20"/>
      <c r="CZ95" s="20"/>
      <c r="DA95" s="20"/>
      <c r="DB95" s="20"/>
      <c r="DC95" s="20"/>
      <c r="DD95" s="20"/>
      <c r="DE95" s="20"/>
      <c r="DF95" s="20"/>
      <c r="DG95" s="20"/>
      <c r="DH95" s="20"/>
      <c r="DI95" s="20"/>
      <c r="DJ95" s="20"/>
      <c r="DK95" s="20"/>
      <c r="DL95" s="20"/>
      <c r="DM95" s="20"/>
      <c r="DN95" s="20"/>
      <c r="DO95" s="20"/>
      <c r="DP95" s="20"/>
      <c r="DQ95" s="20"/>
      <c r="DR95" s="20"/>
      <c r="DS95" s="20"/>
      <c r="DT95" s="20"/>
      <c r="DU95" s="20"/>
      <c r="DV95" s="20"/>
      <c r="DW95" s="20"/>
      <c r="DX95" s="20"/>
      <c r="DY95" s="20"/>
      <c r="DZ95" s="20"/>
      <c r="EA95" s="20"/>
      <c r="EB95" s="20"/>
      <c r="EC95" s="20"/>
      <c r="ED95" s="20"/>
      <c r="EE95" s="20"/>
      <c r="EF95" s="20"/>
      <c r="EG95" s="20"/>
      <c r="EH95" s="20"/>
      <c r="EI95" s="20"/>
      <c r="EJ95" s="20"/>
      <c r="EK95" s="20"/>
      <c r="EL95" s="20"/>
      <c r="EM95" s="20"/>
      <c r="EN95" s="20"/>
      <c r="EO95" s="20"/>
      <c r="EP95" s="20"/>
      <c r="EQ95" s="20"/>
      <c r="ER95" s="20"/>
      <c r="ES95" s="20"/>
      <c r="ET95" s="20"/>
      <c r="EU95" s="20"/>
      <c r="EV95" s="20"/>
      <c r="EW95" s="20"/>
      <c r="EX95" s="20"/>
      <c r="EY95" s="20"/>
      <c r="EZ95" s="20"/>
      <c r="FA95" s="20"/>
      <c r="FB95" s="20"/>
      <c r="FC95" s="20"/>
      <c r="FD95" s="20"/>
      <c r="FE95" s="20"/>
      <c r="FF95" s="20"/>
      <c r="FG95" s="20"/>
      <c r="FH95" s="20"/>
      <c r="FI95" s="20"/>
      <c r="FJ95" s="20"/>
      <c r="FK95" s="20"/>
      <c r="FL95" s="20"/>
      <c r="FM95" s="20"/>
      <c r="FN95" s="20"/>
      <c r="FO95" s="20"/>
      <c r="FP95" s="20"/>
      <c r="FQ95" s="20"/>
      <c r="FR95" s="20"/>
      <c r="FS95" s="20"/>
      <c r="FT95" s="20"/>
      <c r="FU95" s="20"/>
      <c r="FV95" s="20"/>
      <c r="FW95" s="20"/>
      <c r="FX95" s="20"/>
      <c r="FY95" s="20"/>
      <c r="FZ95" s="20"/>
      <c r="GA95" s="20"/>
      <c r="GB95" s="20"/>
      <c r="GC95" s="20"/>
      <c r="GD95" s="20"/>
      <c r="GE95" s="20"/>
      <c r="GF95" s="20"/>
      <c r="GG95" s="20"/>
      <c r="GH95" s="20"/>
      <c r="GI95" s="20"/>
      <c r="GJ95" s="20"/>
      <c r="GK95" s="20"/>
    </row>
    <row r="96" spans="1:193" ht="18" customHeight="1">
      <c r="A96" s="9" t="str">
        <f t="shared" si="2"/>
        <v/>
      </c>
      <c r="B96" s="10"/>
      <c r="C96" s="11"/>
      <c r="D96" s="10"/>
      <c r="E96" s="11"/>
      <c r="F96" s="11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/>
      <c r="CH96" s="12"/>
      <c r="CI96" s="12"/>
      <c r="CJ96" s="12"/>
      <c r="CK96" s="12"/>
      <c r="CL96" s="12"/>
      <c r="CM96" s="15"/>
      <c r="CN96" s="15"/>
      <c r="CO96" s="15"/>
      <c r="CP96" s="15"/>
      <c r="CQ96" s="15"/>
      <c r="CR96" s="15"/>
      <c r="CS96" s="15"/>
      <c r="CT96" s="15"/>
      <c r="CU96" s="15"/>
      <c r="CV96" s="15"/>
      <c r="CW96" s="15"/>
      <c r="CX96" s="15"/>
      <c r="CY96" s="15"/>
      <c r="CZ96" s="15"/>
      <c r="DA96" s="15"/>
      <c r="DB96" s="15"/>
      <c r="DC96" s="15"/>
      <c r="DD96" s="15"/>
      <c r="DE96" s="15"/>
      <c r="DF96" s="15"/>
      <c r="DG96" s="14"/>
      <c r="DH96" s="14"/>
      <c r="DI96" s="14"/>
      <c r="DJ96" s="14"/>
      <c r="DK96" s="14"/>
      <c r="DL96" s="14"/>
      <c r="DM96" s="14"/>
      <c r="DN96" s="14"/>
      <c r="DO96" s="14"/>
      <c r="DP96" s="14"/>
      <c r="DQ96" s="14"/>
      <c r="DR96" s="14"/>
      <c r="DS96" s="14"/>
      <c r="DT96" s="14"/>
      <c r="DU96" s="14"/>
      <c r="DV96" s="14"/>
      <c r="DW96" s="14"/>
      <c r="DX96" s="14"/>
      <c r="DY96" s="14"/>
      <c r="DZ96" s="14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6"/>
      <c r="EV96" s="16"/>
      <c r="EW96" s="16"/>
      <c r="EX96" s="16"/>
      <c r="EY96" s="16"/>
      <c r="EZ96" s="16"/>
      <c r="FA96" s="16"/>
      <c r="FB96" s="16"/>
      <c r="FC96" s="16"/>
      <c r="FD96" s="16"/>
      <c r="FE96" s="16"/>
      <c r="FF96" s="16"/>
      <c r="FG96" s="16"/>
      <c r="FH96" s="16"/>
      <c r="FI96" s="16"/>
      <c r="FJ96" s="16"/>
      <c r="FK96" s="16"/>
      <c r="FL96" s="16"/>
      <c r="FM96" s="16"/>
      <c r="FN96" s="16"/>
      <c r="FO96" s="17"/>
      <c r="FP96" s="17"/>
      <c r="FQ96" s="17"/>
      <c r="FR96" s="17"/>
      <c r="FS96" s="17"/>
      <c r="FT96" s="17"/>
      <c r="FU96" s="17"/>
      <c r="FV96" s="17"/>
      <c r="FW96" s="17"/>
      <c r="FX96" s="17"/>
      <c r="FY96" s="17"/>
      <c r="FZ96" s="17"/>
      <c r="GA96" s="17"/>
      <c r="GB96" s="17"/>
      <c r="GC96" s="17"/>
      <c r="GD96" s="13"/>
      <c r="GE96" s="13"/>
      <c r="GF96" s="13"/>
      <c r="GG96" s="13"/>
      <c r="GH96" s="13"/>
      <c r="GI96" s="13"/>
      <c r="GJ96" s="13"/>
      <c r="GK96" s="13"/>
    </row>
    <row r="97" spans="1:193" ht="18" customHeight="1">
      <c r="A97" s="18" t="str">
        <f t="shared" si="2"/>
        <v/>
      </c>
      <c r="B97" s="19"/>
      <c r="C97" s="20"/>
      <c r="D97" s="19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  <c r="CA97" s="20"/>
      <c r="CB97" s="20"/>
      <c r="CC97" s="20"/>
      <c r="CD97" s="20"/>
      <c r="CE97" s="20"/>
      <c r="CF97" s="20"/>
      <c r="CG97" s="20"/>
      <c r="CH97" s="20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20"/>
      <c r="CT97" s="20"/>
      <c r="CU97" s="20"/>
      <c r="CV97" s="20"/>
      <c r="CW97" s="20"/>
      <c r="CX97" s="20"/>
      <c r="CY97" s="20"/>
      <c r="CZ97" s="20"/>
      <c r="DA97" s="20"/>
      <c r="DB97" s="20"/>
      <c r="DC97" s="20"/>
      <c r="DD97" s="20"/>
      <c r="DE97" s="20"/>
      <c r="DF97" s="20"/>
      <c r="DG97" s="20"/>
      <c r="DH97" s="20"/>
      <c r="DI97" s="20"/>
      <c r="DJ97" s="20"/>
      <c r="DK97" s="20"/>
      <c r="DL97" s="20"/>
      <c r="DM97" s="20"/>
      <c r="DN97" s="20"/>
      <c r="DO97" s="20"/>
      <c r="DP97" s="20"/>
      <c r="DQ97" s="20"/>
      <c r="DR97" s="20"/>
      <c r="DS97" s="20"/>
      <c r="DT97" s="20"/>
      <c r="DU97" s="20"/>
      <c r="DV97" s="20"/>
      <c r="DW97" s="20"/>
      <c r="DX97" s="20"/>
      <c r="DY97" s="20"/>
      <c r="DZ97" s="20"/>
      <c r="EA97" s="20"/>
      <c r="EB97" s="20"/>
      <c r="EC97" s="20"/>
      <c r="ED97" s="20"/>
      <c r="EE97" s="20"/>
      <c r="EF97" s="20"/>
      <c r="EG97" s="20"/>
      <c r="EH97" s="20"/>
      <c r="EI97" s="20"/>
      <c r="EJ97" s="20"/>
      <c r="EK97" s="20"/>
      <c r="EL97" s="20"/>
      <c r="EM97" s="20"/>
      <c r="EN97" s="20"/>
      <c r="EO97" s="20"/>
      <c r="EP97" s="20"/>
      <c r="EQ97" s="20"/>
      <c r="ER97" s="20"/>
      <c r="ES97" s="20"/>
      <c r="ET97" s="20"/>
      <c r="EU97" s="20"/>
      <c r="EV97" s="20"/>
      <c r="EW97" s="20"/>
      <c r="EX97" s="20"/>
      <c r="EY97" s="20"/>
      <c r="EZ97" s="20"/>
      <c r="FA97" s="20"/>
      <c r="FB97" s="20"/>
      <c r="FC97" s="20"/>
      <c r="FD97" s="20"/>
      <c r="FE97" s="20"/>
      <c r="FF97" s="20"/>
      <c r="FG97" s="20"/>
      <c r="FH97" s="20"/>
      <c r="FI97" s="20"/>
      <c r="FJ97" s="20"/>
      <c r="FK97" s="20"/>
      <c r="FL97" s="20"/>
      <c r="FM97" s="20"/>
      <c r="FN97" s="20"/>
      <c r="FO97" s="20"/>
      <c r="FP97" s="20"/>
      <c r="FQ97" s="20"/>
      <c r="FR97" s="20"/>
      <c r="FS97" s="20"/>
      <c r="FT97" s="20"/>
      <c r="FU97" s="20"/>
      <c r="FV97" s="20"/>
      <c r="FW97" s="20"/>
      <c r="FX97" s="20"/>
      <c r="FY97" s="20"/>
      <c r="FZ97" s="20"/>
      <c r="GA97" s="20"/>
      <c r="GB97" s="20"/>
      <c r="GC97" s="20"/>
      <c r="GD97" s="20"/>
      <c r="GE97" s="20"/>
      <c r="GF97" s="20"/>
      <c r="GG97" s="20"/>
      <c r="GH97" s="20"/>
      <c r="GI97" s="20"/>
      <c r="GJ97" s="20"/>
      <c r="GK97" s="20"/>
    </row>
    <row r="98" spans="1:193" ht="18" customHeight="1">
      <c r="A98" s="9" t="str">
        <f t="shared" si="2"/>
        <v/>
      </c>
      <c r="B98" s="10"/>
      <c r="C98" s="11"/>
      <c r="D98" s="10"/>
      <c r="E98" s="11"/>
      <c r="F98" s="11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/>
      <c r="CH98" s="12"/>
      <c r="CI98" s="12"/>
      <c r="CJ98" s="12"/>
      <c r="CK98" s="12"/>
      <c r="CL98" s="12"/>
      <c r="CM98" s="15"/>
      <c r="CN98" s="15"/>
      <c r="CO98" s="15"/>
      <c r="CP98" s="15"/>
      <c r="CQ98" s="15"/>
      <c r="CR98" s="15"/>
      <c r="CS98" s="15"/>
      <c r="CT98" s="15"/>
      <c r="CU98" s="15"/>
      <c r="CV98" s="15"/>
      <c r="CW98" s="15"/>
      <c r="CX98" s="15"/>
      <c r="CY98" s="15"/>
      <c r="CZ98" s="15"/>
      <c r="DA98" s="15"/>
      <c r="DB98" s="15"/>
      <c r="DC98" s="15"/>
      <c r="DD98" s="15"/>
      <c r="DE98" s="15"/>
      <c r="DF98" s="15"/>
      <c r="DG98" s="14"/>
      <c r="DH98" s="14"/>
      <c r="DI98" s="14"/>
      <c r="DJ98" s="14"/>
      <c r="DK98" s="14"/>
      <c r="DL98" s="14"/>
      <c r="DM98" s="14"/>
      <c r="DN98" s="14"/>
      <c r="DO98" s="14"/>
      <c r="DP98" s="14"/>
      <c r="DQ98" s="14"/>
      <c r="DR98" s="14"/>
      <c r="DS98" s="14"/>
      <c r="DT98" s="14"/>
      <c r="DU98" s="14"/>
      <c r="DV98" s="14"/>
      <c r="DW98" s="14"/>
      <c r="DX98" s="14"/>
      <c r="DY98" s="14"/>
      <c r="DZ98" s="14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6"/>
      <c r="EV98" s="16"/>
      <c r="EW98" s="16"/>
      <c r="EX98" s="16"/>
      <c r="EY98" s="16"/>
      <c r="EZ98" s="16"/>
      <c r="FA98" s="16"/>
      <c r="FB98" s="16"/>
      <c r="FC98" s="16"/>
      <c r="FD98" s="16"/>
      <c r="FE98" s="16"/>
      <c r="FF98" s="16"/>
      <c r="FG98" s="16"/>
      <c r="FH98" s="16"/>
      <c r="FI98" s="16"/>
      <c r="FJ98" s="16"/>
      <c r="FK98" s="16"/>
      <c r="FL98" s="16"/>
      <c r="FM98" s="16"/>
      <c r="FN98" s="16"/>
      <c r="FO98" s="17"/>
      <c r="FP98" s="17"/>
      <c r="FQ98" s="17"/>
      <c r="FR98" s="17"/>
      <c r="FS98" s="17"/>
      <c r="FT98" s="17"/>
      <c r="FU98" s="17"/>
      <c r="FV98" s="17"/>
      <c r="FW98" s="17"/>
      <c r="FX98" s="17"/>
      <c r="FY98" s="17"/>
      <c r="FZ98" s="17"/>
      <c r="GA98" s="17"/>
      <c r="GB98" s="17"/>
      <c r="GC98" s="17"/>
      <c r="GD98" s="13"/>
      <c r="GE98" s="13"/>
      <c r="GF98" s="13"/>
      <c r="GG98" s="13"/>
      <c r="GH98" s="13"/>
      <c r="GI98" s="13"/>
      <c r="GJ98" s="13"/>
      <c r="GK98" s="13"/>
    </row>
    <row r="99" spans="1:193" ht="18" customHeight="1">
      <c r="A99" s="18" t="str">
        <f t="shared" si="2"/>
        <v/>
      </c>
      <c r="B99" s="19"/>
      <c r="C99" s="20"/>
      <c r="D99" s="19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  <c r="BX99" s="20"/>
      <c r="BY99" s="20"/>
      <c r="BZ99" s="20"/>
      <c r="CA99" s="20"/>
      <c r="CB99" s="20"/>
      <c r="CC99" s="20"/>
      <c r="CD99" s="20"/>
      <c r="CE99" s="20"/>
      <c r="CF99" s="20"/>
      <c r="CG99" s="20"/>
      <c r="CH99" s="20"/>
      <c r="CI99" s="20"/>
      <c r="CJ99" s="20"/>
      <c r="CK99" s="20"/>
      <c r="CL99" s="20"/>
      <c r="CM99" s="20"/>
      <c r="CN99" s="20"/>
      <c r="CO99" s="20"/>
      <c r="CP99" s="20"/>
      <c r="CQ99" s="20"/>
      <c r="CR99" s="20"/>
      <c r="CS99" s="20"/>
      <c r="CT99" s="20"/>
      <c r="CU99" s="20"/>
      <c r="CV99" s="20"/>
      <c r="CW99" s="20"/>
      <c r="CX99" s="20"/>
      <c r="CY99" s="20"/>
      <c r="CZ99" s="20"/>
      <c r="DA99" s="20"/>
      <c r="DB99" s="20"/>
      <c r="DC99" s="20"/>
      <c r="DD99" s="20"/>
      <c r="DE99" s="20"/>
      <c r="DF99" s="20"/>
      <c r="DG99" s="20"/>
      <c r="DH99" s="20"/>
      <c r="DI99" s="20"/>
      <c r="DJ99" s="20"/>
      <c r="DK99" s="20"/>
      <c r="DL99" s="20"/>
      <c r="DM99" s="20"/>
      <c r="DN99" s="20"/>
      <c r="DO99" s="20"/>
      <c r="DP99" s="20"/>
      <c r="DQ99" s="20"/>
      <c r="DR99" s="20"/>
      <c r="DS99" s="20"/>
      <c r="DT99" s="20"/>
      <c r="DU99" s="20"/>
      <c r="DV99" s="20"/>
      <c r="DW99" s="20"/>
      <c r="DX99" s="20"/>
      <c r="DY99" s="20"/>
      <c r="DZ99" s="20"/>
      <c r="EA99" s="20"/>
      <c r="EB99" s="20"/>
      <c r="EC99" s="20"/>
      <c r="ED99" s="20"/>
      <c r="EE99" s="20"/>
      <c r="EF99" s="20"/>
      <c r="EG99" s="20"/>
      <c r="EH99" s="20"/>
      <c r="EI99" s="20"/>
      <c r="EJ99" s="20"/>
      <c r="EK99" s="20"/>
      <c r="EL99" s="20"/>
      <c r="EM99" s="20"/>
      <c r="EN99" s="20"/>
      <c r="EO99" s="20"/>
      <c r="EP99" s="20"/>
      <c r="EQ99" s="20"/>
      <c r="ER99" s="20"/>
      <c r="ES99" s="20"/>
      <c r="ET99" s="20"/>
      <c r="EU99" s="20"/>
      <c r="EV99" s="20"/>
      <c r="EW99" s="20"/>
      <c r="EX99" s="20"/>
      <c r="EY99" s="20"/>
      <c r="EZ99" s="20"/>
      <c r="FA99" s="20"/>
      <c r="FB99" s="20"/>
      <c r="FC99" s="20"/>
      <c r="FD99" s="20"/>
      <c r="FE99" s="20"/>
      <c r="FF99" s="20"/>
      <c r="FG99" s="20"/>
      <c r="FH99" s="20"/>
      <c r="FI99" s="20"/>
      <c r="FJ99" s="20"/>
      <c r="FK99" s="20"/>
      <c r="FL99" s="20"/>
      <c r="FM99" s="20"/>
      <c r="FN99" s="20"/>
      <c r="FO99" s="20"/>
      <c r="FP99" s="20"/>
      <c r="FQ99" s="20"/>
      <c r="FR99" s="20"/>
      <c r="FS99" s="20"/>
      <c r="FT99" s="20"/>
      <c r="FU99" s="20"/>
      <c r="FV99" s="20"/>
      <c r="FW99" s="20"/>
      <c r="FX99" s="20"/>
      <c r="FY99" s="20"/>
      <c r="FZ99" s="20"/>
      <c r="GA99" s="20"/>
      <c r="GB99" s="20"/>
      <c r="GC99" s="20"/>
      <c r="GD99" s="20"/>
      <c r="GE99" s="20"/>
      <c r="GF99" s="20"/>
      <c r="GG99" s="20"/>
      <c r="GH99" s="20"/>
      <c r="GI99" s="20"/>
      <c r="GJ99" s="20"/>
      <c r="GK99" s="20"/>
    </row>
    <row r="100" spans="1:193" ht="18" customHeight="1">
      <c r="A100" s="9" t="str">
        <f t="shared" si="2"/>
        <v/>
      </c>
      <c r="B100" s="10"/>
      <c r="C100" s="11"/>
      <c r="D100" s="10"/>
      <c r="E100" s="11"/>
      <c r="F100" s="11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  <c r="CF100" s="12"/>
      <c r="CG100" s="12"/>
      <c r="CH100" s="12"/>
      <c r="CI100" s="12"/>
      <c r="CJ100" s="12"/>
      <c r="CK100" s="12"/>
      <c r="CL100" s="12"/>
      <c r="CM100" s="15"/>
      <c r="CN100" s="15"/>
      <c r="CO100" s="15"/>
      <c r="CP100" s="15"/>
      <c r="CQ100" s="15"/>
      <c r="CR100" s="15"/>
      <c r="CS100" s="15"/>
      <c r="CT100" s="15"/>
      <c r="CU100" s="15"/>
      <c r="CV100" s="15"/>
      <c r="CW100" s="15"/>
      <c r="CX100" s="15"/>
      <c r="CY100" s="15"/>
      <c r="CZ100" s="15"/>
      <c r="DA100" s="15"/>
      <c r="DB100" s="15"/>
      <c r="DC100" s="15"/>
      <c r="DD100" s="15"/>
      <c r="DE100" s="15"/>
      <c r="DF100" s="15"/>
      <c r="DG100" s="14"/>
      <c r="DH100" s="14"/>
      <c r="DI100" s="14"/>
      <c r="DJ100" s="14"/>
      <c r="DK100" s="14"/>
      <c r="DL100" s="14"/>
      <c r="DM100" s="14"/>
      <c r="DN100" s="14"/>
      <c r="DO100" s="14"/>
      <c r="DP100" s="14"/>
      <c r="DQ100" s="14"/>
      <c r="DR100" s="14"/>
      <c r="DS100" s="14"/>
      <c r="DT100" s="14"/>
      <c r="DU100" s="14"/>
      <c r="DV100" s="14"/>
      <c r="DW100" s="14"/>
      <c r="DX100" s="14"/>
      <c r="DY100" s="14"/>
      <c r="DZ100" s="14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6"/>
      <c r="EV100" s="16"/>
      <c r="EW100" s="16"/>
      <c r="EX100" s="16"/>
      <c r="EY100" s="16"/>
      <c r="EZ100" s="16"/>
      <c r="FA100" s="16"/>
      <c r="FB100" s="16"/>
      <c r="FC100" s="16"/>
      <c r="FD100" s="16"/>
      <c r="FE100" s="16"/>
      <c r="FF100" s="16"/>
      <c r="FG100" s="16"/>
      <c r="FH100" s="16"/>
      <c r="FI100" s="16"/>
      <c r="FJ100" s="16"/>
      <c r="FK100" s="16"/>
      <c r="FL100" s="16"/>
      <c r="FM100" s="16"/>
      <c r="FN100" s="16"/>
      <c r="FO100" s="17"/>
      <c r="FP100" s="17"/>
      <c r="FQ100" s="17"/>
      <c r="FR100" s="17"/>
      <c r="FS100" s="17"/>
      <c r="FT100" s="17"/>
      <c r="FU100" s="17"/>
      <c r="FV100" s="17"/>
      <c r="FW100" s="17"/>
      <c r="FX100" s="17"/>
      <c r="FY100" s="17"/>
      <c r="FZ100" s="17"/>
      <c r="GA100" s="17"/>
      <c r="GB100" s="17"/>
      <c r="GC100" s="17"/>
      <c r="GD100" s="13"/>
      <c r="GE100" s="13"/>
      <c r="GF100" s="13"/>
      <c r="GG100" s="13"/>
      <c r="GH100" s="13"/>
      <c r="GI100" s="13"/>
      <c r="GJ100" s="13"/>
      <c r="GK100" s="13"/>
    </row>
    <row r="101" spans="1:193" ht="18" customHeight="1">
      <c r="A101" s="18" t="str">
        <f t="shared" si="2"/>
        <v/>
      </c>
      <c r="B101" s="19"/>
      <c r="C101" s="20"/>
      <c r="D101" s="19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20"/>
      <c r="CA101" s="20"/>
      <c r="CB101" s="20"/>
      <c r="CC101" s="20"/>
      <c r="CD101" s="20"/>
      <c r="CE101" s="20"/>
      <c r="CF101" s="20"/>
      <c r="CG101" s="20"/>
      <c r="CH101" s="20"/>
      <c r="CI101" s="20"/>
      <c r="CJ101" s="20"/>
      <c r="CK101" s="20"/>
      <c r="CL101" s="20"/>
      <c r="CM101" s="20"/>
      <c r="CN101" s="20"/>
      <c r="CO101" s="20"/>
      <c r="CP101" s="20"/>
      <c r="CQ101" s="20"/>
      <c r="CR101" s="20"/>
      <c r="CS101" s="20"/>
      <c r="CT101" s="20"/>
      <c r="CU101" s="20"/>
      <c r="CV101" s="20"/>
      <c r="CW101" s="20"/>
      <c r="CX101" s="20"/>
      <c r="CY101" s="20"/>
      <c r="CZ101" s="20"/>
      <c r="DA101" s="20"/>
      <c r="DB101" s="20"/>
      <c r="DC101" s="20"/>
      <c r="DD101" s="20"/>
      <c r="DE101" s="20"/>
      <c r="DF101" s="20"/>
      <c r="DG101" s="20"/>
      <c r="DH101" s="20"/>
      <c r="DI101" s="20"/>
      <c r="DJ101" s="20"/>
      <c r="DK101" s="20"/>
      <c r="DL101" s="20"/>
      <c r="DM101" s="20"/>
      <c r="DN101" s="20"/>
      <c r="DO101" s="20"/>
      <c r="DP101" s="20"/>
      <c r="DQ101" s="20"/>
      <c r="DR101" s="20"/>
      <c r="DS101" s="20"/>
      <c r="DT101" s="20"/>
      <c r="DU101" s="20"/>
      <c r="DV101" s="20"/>
      <c r="DW101" s="20"/>
      <c r="DX101" s="20"/>
      <c r="DY101" s="20"/>
      <c r="DZ101" s="20"/>
      <c r="EA101" s="20"/>
      <c r="EB101" s="20"/>
      <c r="EC101" s="20"/>
      <c r="ED101" s="20"/>
      <c r="EE101" s="20"/>
      <c r="EF101" s="20"/>
      <c r="EG101" s="20"/>
      <c r="EH101" s="20"/>
      <c r="EI101" s="20"/>
      <c r="EJ101" s="20"/>
      <c r="EK101" s="20"/>
      <c r="EL101" s="20"/>
      <c r="EM101" s="20"/>
      <c r="EN101" s="20"/>
      <c r="EO101" s="20"/>
      <c r="EP101" s="20"/>
      <c r="EQ101" s="20"/>
      <c r="ER101" s="20"/>
      <c r="ES101" s="20"/>
      <c r="ET101" s="20"/>
      <c r="EU101" s="20"/>
      <c r="EV101" s="20"/>
      <c r="EW101" s="20"/>
      <c r="EX101" s="20"/>
      <c r="EY101" s="20"/>
      <c r="EZ101" s="20"/>
      <c r="FA101" s="20"/>
      <c r="FB101" s="20"/>
      <c r="FC101" s="20"/>
      <c r="FD101" s="20"/>
      <c r="FE101" s="20"/>
      <c r="FF101" s="20"/>
      <c r="FG101" s="20"/>
      <c r="FH101" s="20"/>
      <c r="FI101" s="20"/>
      <c r="FJ101" s="20"/>
      <c r="FK101" s="20"/>
      <c r="FL101" s="20"/>
      <c r="FM101" s="20"/>
      <c r="FN101" s="20"/>
      <c r="FO101" s="20"/>
      <c r="FP101" s="20"/>
      <c r="FQ101" s="20"/>
      <c r="FR101" s="20"/>
      <c r="FS101" s="20"/>
      <c r="FT101" s="20"/>
      <c r="FU101" s="20"/>
      <c r="FV101" s="20"/>
      <c r="FW101" s="20"/>
      <c r="FX101" s="20"/>
      <c r="FY101" s="20"/>
      <c r="FZ101" s="20"/>
      <c r="GA101" s="20"/>
      <c r="GB101" s="20"/>
      <c r="GC101" s="20"/>
      <c r="GD101" s="20"/>
      <c r="GE101" s="20"/>
      <c r="GF101" s="20"/>
      <c r="GG101" s="20"/>
      <c r="GH101" s="20"/>
      <c r="GI101" s="20"/>
      <c r="GJ101" s="20"/>
      <c r="GK101" s="20"/>
    </row>
    <row r="102" spans="1:193" ht="18" customHeight="1">
      <c r="A102" s="9" t="str">
        <f t="shared" ref="A102:A133" si="3">IF(B102&lt;&gt;"","OBS-"&amp;TEXT(ROW()-5,"000"),"")</f>
        <v/>
      </c>
      <c r="B102" s="10"/>
      <c r="C102" s="11"/>
      <c r="D102" s="10"/>
      <c r="E102" s="11"/>
      <c r="F102" s="11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5"/>
      <c r="CN102" s="15"/>
      <c r="CO102" s="15"/>
      <c r="CP102" s="15"/>
      <c r="CQ102" s="15"/>
      <c r="CR102" s="15"/>
      <c r="CS102" s="15"/>
      <c r="CT102" s="15"/>
      <c r="CU102" s="15"/>
      <c r="CV102" s="15"/>
      <c r="CW102" s="15"/>
      <c r="CX102" s="15"/>
      <c r="CY102" s="15"/>
      <c r="CZ102" s="15"/>
      <c r="DA102" s="15"/>
      <c r="DB102" s="15"/>
      <c r="DC102" s="15"/>
      <c r="DD102" s="15"/>
      <c r="DE102" s="15"/>
      <c r="DF102" s="15"/>
      <c r="DG102" s="14"/>
      <c r="DH102" s="14"/>
      <c r="DI102" s="14"/>
      <c r="DJ102" s="14"/>
      <c r="DK102" s="14"/>
      <c r="DL102" s="14"/>
      <c r="DM102" s="14"/>
      <c r="DN102" s="14"/>
      <c r="DO102" s="14"/>
      <c r="DP102" s="14"/>
      <c r="DQ102" s="14"/>
      <c r="DR102" s="14"/>
      <c r="DS102" s="14"/>
      <c r="DT102" s="14"/>
      <c r="DU102" s="14"/>
      <c r="DV102" s="14"/>
      <c r="DW102" s="14"/>
      <c r="DX102" s="14"/>
      <c r="DY102" s="14"/>
      <c r="DZ102" s="14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6"/>
      <c r="EV102" s="16"/>
      <c r="EW102" s="16"/>
      <c r="EX102" s="16"/>
      <c r="EY102" s="16"/>
      <c r="EZ102" s="16"/>
      <c r="FA102" s="16"/>
      <c r="FB102" s="16"/>
      <c r="FC102" s="16"/>
      <c r="FD102" s="16"/>
      <c r="FE102" s="16"/>
      <c r="FF102" s="16"/>
      <c r="FG102" s="16"/>
      <c r="FH102" s="16"/>
      <c r="FI102" s="16"/>
      <c r="FJ102" s="16"/>
      <c r="FK102" s="16"/>
      <c r="FL102" s="16"/>
      <c r="FM102" s="16"/>
      <c r="FN102" s="16"/>
      <c r="FO102" s="17"/>
      <c r="FP102" s="17"/>
      <c r="FQ102" s="17"/>
      <c r="FR102" s="17"/>
      <c r="FS102" s="17"/>
      <c r="FT102" s="17"/>
      <c r="FU102" s="17"/>
      <c r="FV102" s="17"/>
      <c r="FW102" s="17"/>
      <c r="FX102" s="17"/>
      <c r="FY102" s="17"/>
      <c r="FZ102" s="17"/>
      <c r="GA102" s="17"/>
      <c r="GB102" s="17"/>
      <c r="GC102" s="17"/>
      <c r="GD102" s="13"/>
      <c r="GE102" s="13"/>
      <c r="GF102" s="13"/>
      <c r="GG102" s="13"/>
      <c r="GH102" s="13"/>
      <c r="GI102" s="13"/>
      <c r="GJ102" s="13"/>
      <c r="GK102" s="13"/>
    </row>
    <row r="103" spans="1:193" ht="18" customHeight="1">
      <c r="A103" s="18" t="str">
        <f t="shared" si="3"/>
        <v/>
      </c>
      <c r="B103" s="19"/>
      <c r="C103" s="20"/>
      <c r="D103" s="19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BS103" s="20"/>
      <c r="BT103" s="20"/>
      <c r="BU103" s="20"/>
      <c r="BV103" s="20"/>
      <c r="BW103" s="20"/>
      <c r="BX103" s="20"/>
      <c r="BY103" s="20"/>
      <c r="BZ103" s="20"/>
      <c r="CA103" s="20"/>
      <c r="CB103" s="20"/>
      <c r="CC103" s="20"/>
      <c r="CD103" s="20"/>
      <c r="CE103" s="20"/>
      <c r="CF103" s="20"/>
      <c r="CG103" s="20"/>
      <c r="CH103" s="20"/>
      <c r="CI103" s="20"/>
      <c r="CJ103" s="20"/>
      <c r="CK103" s="20"/>
      <c r="CL103" s="20"/>
      <c r="CM103" s="20"/>
      <c r="CN103" s="20"/>
      <c r="CO103" s="20"/>
      <c r="CP103" s="20"/>
      <c r="CQ103" s="20"/>
      <c r="CR103" s="20"/>
      <c r="CS103" s="20"/>
      <c r="CT103" s="20"/>
      <c r="CU103" s="20"/>
      <c r="CV103" s="20"/>
      <c r="CW103" s="20"/>
      <c r="CX103" s="20"/>
      <c r="CY103" s="20"/>
      <c r="CZ103" s="20"/>
      <c r="DA103" s="20"/>
      <c r="DB103" s="20"/>
      <c r="DC103" s="20"/>
      <c r="DD103" s="20"/>
      <c r="DE103" s="20"/>
      <c r="DF103" s="20"/>
      <c r="DG103" s="20"/>
      <c r="DH103" s="20"/>
      <c r="DI103" s="20"/>
      <c r="DJ103" s="20"/>
      <c r="DK103" s="20"/>
      <c r="DL103" s="20"/>
      <c r="DM103" s="20"/>
      <c r="DN103" s="20"/>
      <c r="DO103" s="20"/>
      <c r="DP103" s="20"/>
      <c r="DQ103" s="20"/>
      <c r="DR103" s="20"/>
      <c r="DS103" s="20"/>
      <c r="DT103" s="20"/>
      <c r="DU103" s="20"/>
      <c r="DV103" s="20"/>
      <c r="DW103" s="20"/>
      <c r="DX103" s="20"/>
      <c r="DY103" s="20"/>
      <c r="DZ103" s="20"/>
      <c r="EA103" s="20"/>
      <c r="EB103" s="20"/>
      <c r="EC103" s="20"/>
      <c r="ED103" s="20"/>
      <c r="EE103" s="20"/>
      <c r="EF103" s="20"/>
      <c r="EG103" s="20"/>
      <c r="EH103" s="20"/>
      <c r="EI103" s="20"/>
      <c r="EJ103" s="20"/>
      <c r="EK103" s="20"/>
      <c r="EL103" s="20"/>
      <c r="EM103" s="20"/>
      <c r="EN103" s="20"/>
      <c r="EO103" s="20"/>
      <c r="EP103" s="20"/>
      <c r="EQ103" s="20"/>
      <c r="ER103" s="20"/>
      <c r="ES103" s="20"/>
      <c r="ET103" s="20"/>
      <c r="EU103" s="20"/>
      <c r="EV103" s="20"/>
      <c r="EW103" s="20"/>
      <c r="EX103" s="20"/>
      <c r="EY103" s="20"/>
      <c r="EZ103" s="20"/>
      <c r="FA103" s="20"/>
      <c r="FB103" s="20"/>
      <c r="FC103" s="20"/>
      <c r="FD103" s="20"/>
      <c r="FE103" s="20"/>
      <c r="FF103" s="20"/>
      <c r="FG103" s="20"/>
      <c r="FH103" s="20"/>
      <c r="FI103" s="20"/>
      <c r="FJ103" s="20"/>
      <c r="FK103" s="20"/>
      <c r="FL103" s="20"/>
      <c r="FM103" s="20"/>
      <c r="FN103" s="20"/>
      <c r="FO103" s="20"/>
      <c r="FP103" s="20"/>
      <c r="FQ103" s="20"/>
      <c r="FR103" s="20"/>
      <c r="FS103" s="20"/>
      <c r="FT103" s="20"/>
      <c r="FU103" s="20"/>
      <c r="FV103" s="20"/>
      <c r="FW103" s="20"/>
      <c r="FX103" s="20"/>
      <c r="FY103" s="20"/>
      <c r="FZ103" s="20"/>
      <c r="GA103" s="20"/>
      <c r="GB103" s="20"/>
      <c r="GC103" s="20"/>
      <c r="GD103" s="20"/>
      <c r="GE103" s="20"/>
      <c r="GF103" s="20"/>
      <c r="GG103" s="20"/>
      <c r="GH103" s="20"/>
      <c r="GI103" s="20"/>
      <c r="GJ103" s="20"/>
      <c r="GK103" s="20"/>
    </row>
    <row r="104" spans="1:193" ht="18" customHeight="1">
      <c r="A104" s="9" t="str">
        <f t="shared" si="3"/>
        <v/>
      </c>
      <c r="B104" s="10"/>
      <c r="C104" s="11"/>
      <c r="D104" s="10"/>
      <c r="E104" s="11"/>
      <c r="F104" s="11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/>
      <c r="CH104" s="12"/>
      <c r="CI104" s="12"/>
      <c r="CJ104" s="12"/>
      <c r="CK104" s="12"/>
      <c r="CL104" s="12"/>
      <c r="CM104" s="15"/>
      <c r="CN104" s="15"/>
      <c r="CO104" s="15"/>
      <c r="CP104" s="15"/>
      <c r="CQ104" s="15"/>
      <c r="CR104" s="15"/>
      <c r="CS104" s="15"/>
      <c r="CT104" s="15"/>
      <c r="CU104" s="15"/>
      <c r="CV104" s="15"/>
      <c r="CW104" s="15"/>
      <c r="CX104" s="15"/>
      <c r="CY104" s="15"/>
      <c r="CZ104" s="15"/>
      <c r="DA104" s="15"/>
      <c r="DB104" s="15"/>
      <c r="DC104" s="15"/>
      <c r="DD104" s="15"/>
      <c r="DE104" s="15"/>
      <c r="DF104" s="15"/>
      <c r="DG104" s="14"/>
      <c r="DH104" s="14"/>
      <c r="DI104" s="14"/>
      <c r="DJ104" s="14"/>
      <c r="DK104" s="14"/>
      <c r="DL104" s="14"/>
      <c r="DM104" s="14"/>
      <c r="DN104" s="14"/>
      <c r="DO104" s="14"/>
      <c r="DP104" s="14"/>
      <c r="DQ104" s="14"/>
      <c r="DR104" s="14"/>
      <c r="DS104" s="14"/>
      <c r="DT104" s="14"/>
      <c r="DU104" s="14"/>
      <c r="DV104" s="14"/>
      <c r="DW104" s="14"/>
      <c r="DX104" s="14"/>
      <c r="DY104" s="14"/>
      <c r="DZ104" s="14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6"/>
      <c r="EV104" s="16"/>
      <c r="EW104" s="16"/>
      <c r="EX104" s="16"/>
      <c r="EY104" s="16"/>
      <c r="EZ104" s="16"/>
      <c r="FA104" s="16"/>
      <c r="FB104" s="16"/>
      <c r="FC104" s="16"/>
      <c r="FD104" s="16"/>
      <c r="FE104" s="16"/>
      <c r="FF104" s="16"/>
      <c r="FG104" s="16"/>
      <c r="FH104" s="16"/>
      <c r="FI104" s="16"/>
      <c r="FJ104" s="16"/>
      <c r="FK104" s="16"/>
      <c r="FL104" s="16"/>
      <c r="FM104" s="16"/>
      <c r="FN104" s="16"/>
      <c r="FO104" s="17"/>
      <c r="FP104" s="17"/>
      <c r="FQ104" s="17"/>
      <c r="FR104" s="17"/>
      <c r="FS104" s="17"/>
      <c r="FT104" s="17"/>
      <c r="FU104" s="17"/>
      <c r="FV104" s="17"/>
      <c r="FW104" s="17"/>
      <c r="FX104" s="17"/>
      <c r="FY104" s="17"/>
      <c r="FZ104" s="17"/>
      <c r="GA104" s="17"/>
      <c r="GB104" s="17"/>
      <c r="GC104" s="17"/>
      <c r="GD104" s="13"/>
      <c r="GE104" s="13"/>
      <c r="GF104" s="13"/>
      <c r="GG104" s="13"/>
      <c r="GH104" s="13"/>
      <c r="GI104" s="13"/>
      <c r="GJ104" s="13"/>
      <c r="GK104" s="13"/>
    </row>
    <row r="105" spans="1:193" ht="18" customHeight="1">
      <c r="A105" s="18" t="str">
        <f t="shared" si="3"/>
        <v/>
      </c>
      <c r="B105" s="19"/>
      <c r="C105" s="20"/>
      <c r="D105" s="19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  <c r="BX105" s="20"/>
      <c r="BY105" s="20"/>
      <c r="BZ105" s="20"/>
      <c r="CA105" s="20"/>
      <c r="CB105" s="20"/>
      <c r="CC105" s="20"/>
      <c r="CD105" s="20"/>
      <c r="CE105" s="20"/>
      <c r="CF105" s="20"/>
      <c r="CG105" s="20"/>
      <c r="CH105" s="20"/>
      <c r="CI105" s="20"/>
      <c r="CJ105" s="20"/>
      <c r="CK105" s="20"/>
      <c r="CL105" s="20"/>
      <c r="CM105" s="20"/>
      <c r="CN105" s="20"/>
      <c r="CO105" s="20"/>
      <c r="CP105" s="20"/>
      <c r="CQ105" s="20"/>
      <c r="CR105" s="20"/>
      <c r="CS105" s="20"/>
      <c r="CT105" s="20"/>
      <c r="CU105" s="20"/>
      <c r="CV105" s="20"/>
      <c r="CW105" s="20"/>
      <c r="CX105" s="20"/>
      <c r="CY105" s="20"/>
      <c r="CZ105" s="20"/>
      <c r="DA105" s="20"/>
      <c r="DB105" s="20"/>
      <c r="DC105" s="20"/>
      <c r="DD105" s="20"/>
      <c r="DE105" s="20"/>
      <c r="DF105" s="20"/>
      <c r="DG105" s="20"/>
      <c r="DH105" s="20"/>
      <c r="DI105" s="20"/>
      <c r="DJ105" s="20"/>
      <c r="DK105" s="20"/>
      <c r="DL105" s="20"/>
      <c r="DM105" s="20"/>
      <c r="DN105" s="20"/>
      <c r="DO105" s="20"/>
      <c r="DP105" s="20"/>
      <c r="DQ105" s="20"/>
      <c r="DR105" s="20"/>
      <c r="DS105" s="20"/>
      <c r="DT105" s="20"/>
      <c r="DU105" s="20"/>
      <c r="DV105" s="20"/>
      <c r="DW105" s="20"/>
      <c r="DX105" s="20"/>
      <c r="DY105" s="20"/>
      <c r="DZ105" s="20"/>
      <c r="EA105" s="20"/>
      <c r="EB105" s="20"/>
      <c r="EC105" s="20"/>
      <c r="ED105" s="20"/>
      <c r="EE105" s="20"/>
      <c r="EF105" s="20"/>
      <c r="EG105" s="20"/>
      <c r="EH105" s="20"/>
      <c r="EI105" s="20"/>
      <c r="EJ105" s="20"/>
      <c r="EK105" s="20"/>
      <c r="EL105" s="20"/>
      <c r="EM105" s="20"/>
      <c r="EN105" s="20"/>
      <c r="EO105" s="20"/>
      <c r="EP105" s="20"/>
      <c r="EQ105" s="20"/>
      <c r="ER105" s="20"/>
      <c r="ES105" s="20"/>
      <c r="ET105" s="20"/>
      <c r="EU105" s="20"/>
      <c r="EV105" s="20"/>
      <c r="EW105" s="20"/>
      <c r="EX105" s="20"/>
      <c r="EY105" s="20"/>
      <c r="EZ105" s="20"/>
      <c r="FA105" s="20"/>
      <c r="FB105" s="20"/>
      <c r="FC105" s="20"/>
      <c r="FD105" s="20"/>
      <c r="FE105" s="20"/>
      <c r="FF105" s="20"/>
      <c r="FG105" s="20"/>
      <c r="FH105" s="20"/>
      <c r="FI105" s="20"/>
      <c r="FJ105" s="20"/>
      <c r="FK105" s="20"/>
      <c r="FL105" s="20"/>
      <c r="FM105" s="20"/>
      <c r="FN105" s="20"/>
      <c r="FO105" s="20"/>
      <c r="FP105" s="20"/>
      <c r="FQ105" s="20"/>
      <c r="FR105" s="20"/>
      <c r="FS105" s="20"/>
      <c r="FT105" s="20"/>
      <c r="FU105" s="20"/>
      <c r="FV105" s="20"/>
      <c r="FW105" s="20"/>
      <c r="FX105" s="20"/>
      <c r="FY105" s="20"/>
      <c r="FZ105" s="20"/>
      <c r="GA105" s="20"/>
      <c r="GB105" s="20"/>
      <c r="GC105" s="20"/>
      <c r="GD105" s="20"/>
      <c r="GE105" s="20"/>
      <c r="GF105" s="20"/>
      <c r="GG105" s="20"/>
      <c r="GH105" s="20"/>
      <c r="GI105" s="20"/>
      <c r="GJ105" s="20"/>
      <c r="GK105" s="20"/>
    </row>
    <row r="106" spans="1:193" ht="18" customHeight="1">
      <c r="A106" s="9" t="str">
        <f t="shared" si="3"/>
        <v/>
      </c>
      <c r="B106" s="10"/>
      <c r="C106" s="11"/>
      <c r="D106" s="10"/>
      <c r="E106" s="11"/>
      <c r="F106" s="11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5"/>
      <c r="CN106" s="15"/>
      <c r="CO106" s="15"/>
      <c r="CP106" s="15"/>
      <c r="CQ106" s="15"/>
      <c r="CR106" s="15"/>
      <c r="CS106" s="15"/>
      <c r="CT106" s="15"/>
      <c r="CU106" s="15"/>
      <c r="CV106" s="15"/>
      <c r="CW106" s="15"/>
      <c r="CX106" s="15"/>
      <c r="CY106" s="15"/>
      <c r="CZ106" s="15"/>
      <c r="DA106" s="15"/>
      <c r="DB106" s="15"/>
      <c r="DC106" s="15"/>
      <c r="DD106" s="15"/>
      <c r="DE106" s="15"/>
      <c r="DF106" s="15"/>
      <c r="DG106" s="14"/>
      <c r="DH106" s="14"/>
      <c r="DI106" s="14"/>
      <c r="DJ106" s="14"/>
      <c r="DK106" s="14"/>
      <c r="DL106" s="14"/>
      <c r="DM106" s="14"/>
      <c r="DN106" s="14"/>
      <c r="DO106" s="14"/>
      <c r="DP106" s="14"/>
      <c r="DQ106" s="14"/>
      <c r="DR106" s="14"/>
      <c r="DS106" s="14"/>
      <c r="DT106" s="14"/>
      <c r="DU106" s="14"/>
      <c r="DV106" s="14"/>
      <c r="DW106" s="14"/>
      <c r="DX106" s="14"/>
      <c r="DY106" s="14"/>
      <c r="DZ106" s="14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6"/>
      <c r="EV106" s="16"/>
      <c r="EW106" s="16"/>
      <c r="EX106" s="16"/>
      <c r="EY106" s="16"/>
      <c r="EZ106" s="16"/>
      <c r="FA106" s="16"/>
      <c r="FB106" s="16"/>
      <c r="FC106" s="16"/>
      <c r="FD106" s="16"/>
      <c r="FE106" s="16"/>
      <c r="FF106" s="16"/>
      <c r="FG106" s="16"/>
      <c r="FH106" s="16"/>
      <c r="FI106" s="16"/>
      <c r="FJ106" s="16"/>
      <c r="FK106" s="16"/>
      <c r="FL106" s="16"/>
      <c r="FM106" s="16"/>
      <c r="FN106" s="16"/>
      <c r="FO106" s="17"/>
      <c r="FP106" s="17"/>
      <c r="FQ106" s="17"/>
      <c r="FR106" s="17"/>
      <c r="FS106" s="17"/>
      <c r="FT106" s="17"/>
      <c r="FU106" s="17"/>
      <c r="FV106" s="17"/>
      <c r="FW106" s="17"/>
      <c r="FX106" s="17"/>
      <c r="FY106" s="17"/>
      <c r="FZ106" s="17"/>
      <c r="GA106" s="17"/>
      <c r="GB106" s="17"/>
      <c r="GC106" s="17"/>
      <c r="GD106" s="13"/>
      <c r="GE106" s="13"/>
      <c r="GF106" s="13"/>
      <c r="GG106" s="13"/>
      <c r="GH106" s="13"/>
      <c r="GI106" s="13"/>
      <c r="GJ106" s="13"/>
      <c r="GK106" s="13"/>
    </row>
    <row r="107" spans="1:193" ht="18" customHeight="1">
      <c r="A107" s="18" t="str">
        <f t="shared" si="3"/>
        <v/>
      </c>
      <c r="B107" s="19"/>
      <c r="C107" s="20"/>
      <c r="D107" s="19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  <c r="BW107" s="20"/>
      <c r="BX107" s="20"/>
      <c r="BY107" s="20"/>
      <c r="BZ107" s="20"/>
      <c r="CA107" s="20"/>
      <c r="CB107" s="20"/>
      <c r="CC107" s="20"/>
      <c r="CD107" s="20"/>
      <c r="CE107" s="20"/>
      <c r="CF107" s="20"/>
      <c r="CG107" s="20"/>
      <c r="CH107" s="20"/>
      <c r="CI107" s="20"/>
      <c r="CJ107" s="20"/>
      <c r="CK107" s="20"/>
      <c r="CL107" s="20"/>
      <c r="CM107" s="20"/>
      <c r="CN107" s="20"/>
      <c r="CO107" s="20"/>
      <c r="CP107" s="20"/>
      <c r="CQ107" s="20"/>
      <c r="CR107" s="20"/>
      <c r="CS107" s="20"/>
      <c r="CT107" s="20"/>
      <c r="CU107" s="20"/>
      <c r="CV107" s="20"/>
      <c r="CW107" s="20"/>
      <c r="CX107" s="20"/>
      <c r="CY107" s="20"/>
      <c r="CZ107" s="20"/>
      <c r="DA107" s="20"/>
      <c r="DB107" s="20"/>
      <c r="DC107" s="20"/>
      <c r="DD107" s="20"/>
      <c r="DE107" s="20"/>
      <c r="DF107" s="20"/>
      <c r="DG107" s="20"/>
      <c r="DH107" s="20"/>
      <c r="DI107" s="20"/>
      <c r="DJ107" s="20"/>
      <c r="DK107" s="20"/>
      <c r="DL107" s="20"/>
      <c r="DM107" s="20"/>
      <c r="DN107" s="20"/>
      <c r="DO107" s="20"/>
      <c r="DP107" s="20"/>
      <c r="DQ107" s="20"/>
      <c r="DR107" s="20"/>
      <c r="DS107" s="20"/>
      <c r="DT107" s="20"/>
      <c r="DU107" s="20"/>
      <c r="DV107" s="20"/>
      <c r="DW107" s="20"/>
      <c r="DX107" s="20"/>
      <c r="DY107" s="20"/>
      <c r="DZ107" s="20"/>
      <c r="EA107" s="20"/>
      <c r="EB107" s="20"/>
      <c r="EC107" s="20"/>
      <c r="ED107" s="20"/>
      <c r="EE107" s="20"/>
      <c r="EF107" s="20"/>
      <c r="EG107" s="20"/>
      <c r="EH107" s="20"/>
      <c r="EI107" s="20"/>
      <c r="EJ107" s="20"/>
      <c r="EK107" s="20"/>
      <c r="EL107" s="20"/>
      <c r="EM107" s="20"/>
      <c r="EN107" s="20"/>
      <c r="EO107" s="20"/>
      <c r="EP107" s="20"/>
      <c r="EQ107" s="20"/>
      <c r="ER107" s="20"/>
      <c r="ES107" s="20"/>
      <c r="ET107" s="20"/>
      <c r="EU107" s="20"/>
      <c r="EV107" s="20"/>
      <c r="EW107" s="20"/>
      <c r="EX107" s="20"/>
      <c r="EY107" s="20"/>
      <c r="EZ107" s="20"/>
      <c r="FA107" s="20"/>
      <c r="FB107" s="20"/>
      <c r="FC107" s="20"/>
      <c r="FD107" s="20"/>
      <c r="FE107" s="20"/>
      <c r="FF107" s="20"/>
      <c r="FG107" s="20"/>
      <c r="FH107" s="20"/>
      <c r="FI107" s="20"/>
      <c r="FJ107" s="20"/>
      <c r="FK107" s="20"/>
      <c r="FL107" s="20"/>
      <c r="FM107" s="20"/>
      <c r="FN107" s="20"/>
      <c r="FO107" s="20"/>
      <c r="FP107" s="20"/>
      <c r="FQ107" s="20"/>
      <c r="FR107" s="20"/>
      <c r="FS107" s="20"/>
      <c r="FT107" s="20"/>
      <c r="FU107" s="20"/>
      <c r="FV107" s="20"/>
      <c r="FW107" s="20"/>
      <c r="FX107" s="20"/>
      <c r="FY107" s="20"/>
      <c r="FZ107" s="20"/>
      <c r="GA107" s="20"/>
      <c r="GB107" s="20"/>
      <c r="GC107" s="20"/>
      <c r="GD107" s="20"/>
      <c r="GE107" s="20"/>
      <c r="GF107" s="20"/>
      <c r="GG107" s="20"/>
      <c r="GH107" s="20"/>
      <c r="GI107" s="20"/>
      <c r="GJ107" s="20"/>
      <c r="GK107" s="20"/>
    </row>
    <row r="108" spans="1:193" ht="18" customHeight="1">
      <c r="A108" s="9" t="str">
        <f t="shared" si="3"/>
        <v/>
      </c>
      <c r="B108" s="10"/>
      <c r="C108" s="11"/>
      <c r="D108" s="10"/>
      <c r="E108" s="11"/>
      <c r="F108" s="11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2"/>
      <c r="BT108" s="12"/>
      <c r="BU108" s="12"/>
      <c r="BV108" s="12"/>
      <c r="BW108" s="12"/>
      <c r="BX108" s="12"/>
      <c r="BY108" s="12"/>
      <c r="BZ108" s="12"/>
      <c r="CA108" s="12"/>
      <c r="CB108" s="12"/>
      <c r="CC108" s="12"/>
      <c r="CD108" s="12"/>
      <c r="CE108" s="12"/>
      <c r="CF108" s="12"/>
      <c r="CG108" s="12"/>
      <c r="CH108" s="12"/>
      <c r="CI108" s="12"/>
      <c r="CJ108" s="12"/>
      <c r="CK108" s="12"/>
      <c r="CL108" s="12"/>
      <c r="CM108" s="15"/>
      <c r="CN108" s="15"/>
      <c r="CO108" s="15"/>
      <c r="CP108" s="15"/>
      <c r="CQ108" s="15"/>
      <c r="CR108" s="15"/>
      <c r="CS108" s="15"/>
      <c r="CT108" s="15"/>
      <c r="CU108" s="15"/>
      <c r="CV108" s="15"/>
      <c r="CW108" s="15"/>
      <c r="CX108" s="15"/>
      <c r="CY108" s="15"/>
      <c r="CZ108" s="15"/>
      <c r="DA108" s="15"/>
      <c r="DB108" s="15"/>
      <c r="DC108" s="15"/>
      <c r="DD108" s="15"/>
      <c r="DE108" s="15"/>
      <c r="DF108" s="15"/>
      <c r="DG108" s="14"/>
      <c r="DH108" s="14"/>
      <c r="DI108" s="14"/>
      <c r="DJ108" s="14"/>
      <c r="DK108" s="14"/>
      <c r="DL108" s="14"/>
      <c r="DM108" s="14"/>
      <c r="DN108" s="14"/>
      <c r="DO108" s="14"/>
      <c r="DP108" s="14"/>
      <c r="DQ108" s="14"/>
      <c r="DR108" s="14"/>
      <c r="DS108" s="14"/>
      <c r="DT108" s="14"/>
      <c r="DU108" s="14"/>
      <c r="DV108" s="14"/>
      <c r="DW108" s="14"/>
      <c r="DX108" s="14"/>
      <c r="DY108" s="14"/>
      <c r="DZ108" s="14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6"/>
      <c r="EV108" s="16"/>
      <c r="EW108" s="16"/>
      <c r="EX108" s="16"/>
      <c r="EY108" s="16"/>
      <c r="EZ108" s="16"/>
      <c r="FA108" s="16"/>
      <c r="FB108" s="16"/>
      <c r="FC108" s="16"/>
      <c r="FD108" s="16"/>
      <c r="FE108" s="16"/>
      <c r="FF108" s="16"/>
      <c r="FG108" s="16"/>
      <c r="FH108" s="16"/>
      <c r="FI108" s="16"/>
      <c r="FJ108" s="16"/>
      <c r="FK108" s="16"/>
      <c r="FL108" s="16"/>
      <c r="FM108" s="16"/>
      <c r="FN108" s="16"/>
      <c r="FO108" s="17"/>
      <c r="FP108" s="17"/>
      <c r="FQ108" s="17"/>
      <c r="FR108" s="17"/>
      <c r="FS108" s="17"/>
      <c r="FT108" s="17"/>
      <c r="FU108" s="17"/>
      <c r="FV108" s="17"/>
      <c r="FW108" s="17"/>
      <c r="FX108" s="17"/>
      <c r="FY108" s="17"/>
      <c r="FZ108" s="17"/>
      <c r="GA108" s="17"/>
      <c r="GB108" s="17"/>
      <c r="GC108" s="17"/>
      <c r="GD108" s="13"/>
      <c r="GE108" s="13"/>
      <c r="GF108" s="13"/>
      <c r="GG108" s="13"/>
      <c r="GH108" s="13"/>
      <c r="GI108" s="13"/>
      <c r="GJ108" s="13"/>
      <c r="GK108" s="13"/>
    </row>
    <row r="109" spans="1:193" ht="18" customHeight="1">
      <c r="A109" s="18" t="str">
        <f t="shared" si="3"/>
        <v/>
      </c>
      <c r="B109" s="19"/>
      <c r="C109" s="20"/>
      <c r="D109" s="19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  <c r="BX109" s="20"/>
      <c r="BY109" s="20"/>
      <c r="BZ109" s="20"/>
      <c r="CA109" s="20"/>
      <c r="CB109" s="20"/>
      <c r="CC109" s="20"/>
      <c r="CD109" s="20"/>
      <c r="CE109" s="20"/>
      <c r="CF109" s="20"/>
      <c r="CG109" s="20"/>
      <c r="CH109" s="20"/>
      <c r="CI109" s="20"/>
      <c r="CJ109" s="20"/>
      <c r="CK109" s="20"/>
      <c r="CL109" s="20"/>
      <c r="CM109" s="20"/>
      <c r="CN109" s="20"/>
      <c r="CO109" s="20"/>
      <c r="CP109" s="20"/>
      <c r="CQ109" s="20"/>
      <c r="CR109" s="20"/>
      <c r="CS109" s="20"/>
      <c r="CT109" s="20"/>
      <c r="CU109" s="20"/>
      <c r="CV109" s="20"/>
      <c r="CW109" s="20"/>
      <c r="CX109" s="20"/>
      <c r="CY109" s="20"/>
      <c r="CZ109" s="20"/>
      <c r="DA109" s="20"/>
      <c r="DB109" s="20"/>
      <c r="DC109" s="20"/>
      <c r="DD109" s="20"/>
      <c r="DE109" s="20"/>
      <c r="DF109" s="20"/>
      <c r="DG109" s="20"/>
      <c r="DH109" s="20"/>
      <c r="DI109" s="20"/>
      <c r="DJ109" s="20"/>
      <c r="DK109" s="20"/>
      <c r="DL109" s="20"/>
      <c r="DM109" s="20"/>
      <c r="DN109" s="20"/>
      <c r="DO109" s="20"/>
      <c r="DP109" s="20"/>
      <c r="DQ109" s="20"/>
      <c r="DR109" s="20"/>
      <c r="DS109" s="20"/>
      <c r="DT109" s="20"/>
      <c r="DU109" s="20"/>
      <c r="DV109" s="20"/>
      <c r="DW109" s="20"/>
      <c r="DX109" s="20"/>
      <c r="DY109" s="20"/>
      <c r="DZ109" s="20"/>
      <c r="EA109" s="20"/>
      <c r="EB109" s="20"/>
      <c r="EC109" s="20"/>
      <c r="ED109" s="20"/>
      <c r="EE109" s="20"/>
      <c r="EF109" s="20"/>
      <c r="EG109" s="20"/>
      <c r="EH109" s="20"/>
      <c r="EI109" s="20"/>
      <c r="EJ109" s="20"/>
      <c r="EK109" s="20"/>
      <c r="EL109" s="20"/>
      <c r="EM109" s="20"/>
      <c r="EN109" s="20"/>
      <c r="EO109" s="20"/>
      <c r="EP109" s="20"/>
      <c r="EQ109" s="20"/>
      <c r="ER109" s="20"/>
      <c r="ES109" s="20"/>
      <c r="ET109" s="20"/>
      <c r="EU109" s="20"/>
      <c r="EV109" s="20"/>
      <c r="EW109" s="20"/>
      <c r="EX109" s="20"/>
      <c r="EY109" s="20"/>
      <c r="EZ109" s="20"/>
      <c r="FA109" s="20"/>
      <c r="FB109" s="20"/>
      <c r="FC109" s="20"/>
      <c r="FD109" s="20"/>
      <c r="FE109" s="20"/>
      <c r="FF109" s="20"/>
      <c r="FG109" s="20"/>
      <c r="FH109" s="20"/>
      <c r="FI109" s="20"/>
      <c r="FJ109" s="20"/>
      <c r="FK109" s="20"/>
      <c r="FL109" s="20"/>
      <c r="FM109" s="20"/>
      <c r="FN109" s="20"/>
      <c r="FO109" s="20"/>
      <c r="FP109" s="20"/>
      <c r="FQ109" s="20"/>
      <c r="FR109" s="20"/>
      <c r="FS109" s="20"/>
      <c r="FT109" s="20"/>
      <c r="FU109" s="20"/>
      <c r="FV109" s="20"/>
      <c r="FW109" s="20"/>
      <c r="FX109" s="20"/>
      <c r="FY109" s="20"/>
      <c r="FZ109" s="20"/>
      <c r="GA109" s="20"/>
      <c r="GB109" s="20"/>
      <c r="GC109" s="20"/>
      <c r="GD109" s="20"/>
      <c r="GE109" s="20"/>
      <c r="GF109" s="20"/>
      <c r="GG109" s="20"/>
      <c r="GH109" s="20"/>
      <c r="GI109" s="20"/>
      <c r="GJ109" s="20"/>
      <c r="GK109" s="20"/>
    </row>
    <row r="110" spans="1:193" ht="18" customHeight="1">
      <c r="A110" s="9" t="str">
        <f t="shared" si="3"/>
        <v/>
      </c>
      <c r="B110" s="10"/>
      <c r="C110" s="11"/>
      <c r="D110" s="10"/>
      <c r="E110" s="11"/>
      <c r="F110" s="11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/>
      <c r="CH110" s="12"/>
      <c r="CI110" s="12"/>
      <c r="CJ110" s="12"/>
      <c r="CK110" s="12"/>
      <c r="CL110" s="12"/>
      <c r="CM110" s="15"/>
      <c r="CN110" s="15"/>
      <c r="CO110" s="15"/>
      <c r="CP110" s="15"/>
      <c r="CQ110" s="15"/>
      <c r="CR110" s="15"/>
      <c r="CS110" s="15"/>
      <c r="CT110" s="15"/>
      <c r="CU110" s="15"/>
      <c r="CV110" s="15"/>
      <c r="CW110" s="15"/>
      <c r="CX110" s="15"/>
      <c r="CY110" s="15"/>
      <c r="CZ110" s="15"/>
      <c r="DA110" s="15"/>
      <c r="DB110" s="15"/>
      <c r="DC110" s="15"/>
      <c r="DD110" s="15"/>
      <c r="DE110" s="15"/>
      <c r="DF110" s="15"/>
      <c r="DG110" s="14"/>
      <c r="DH110" s="14"/>
      <c r="DI110" s="14"/>
      <c r="DJ110" s="14"/>
      <c r="DK110" s="14"/>
      <c r="DL110" s="14"/>
      <c r="DM110" s="14"/>
      <c r="DN110" s="14"/>
      <c r="DO110" s="14"/>
      <c r="DP110" s="14"/>
      <c r="DQ110" s="14"/>
      <c r="DR110" s="14"/>
      <c r="DS110" s="14"/>
      <c r="DT110" s="14"/>
      <c r="DU110" s="14"/>
      <c r="DV110" s="14"/>
      <c r="DW110" s="14"/>
      <c r="DX110" s="14"/>
      <c r="DY110" s="14"/>
      <c r="DZ110" s="14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6"/>
      <c r="EV110" s="16"/>
      <c r="EW110" s="16"/>
      <c r="EX110" s="16"/>
      <c r="EY110" s="16"/>
      <c r="EZ110" s="16"/>
      <c r="FA110" s="16"/>
      <c r="FB110" s="16"/>
      <c r="FC110" s="16"/>
      <c r="FD110" s="16"/>
      <c r="FE110" s="16"/>
      <c r="FF110" s="16"/>
      <c r="FG110" s="16"/>
      <c r="FH110" s="16"/>
      <c r="FI110" s="16"/>
      <c r="FJ110" s="16"/>
      <c r="FK110" s="16"/>
      <c r="FL110" s="16"/>
      <c r="FM110" s="16"/>
      <c r="FN110" s="16"/>
      <c r="FO110" s="17"/>
      <c r="FP110" s="17"/>
      <c r="FQ110" s="17"/>
      <c r="FR110" s="17"/>
      <c r="FS110" s="17"/>
      <c r="FT110" s="17"/>
      <c r="FU110" s="17"/>
      <c r="FV110" s="17"/>
      <c r="FW110" s="17"/>
      <c r="FX110" s="17"/>
      <c r="FY110" s="17"/>
      <c r="FZ110" s="17"/>
      <c r="GA110" s="17"/>
      <c r="GB110" s="17"/>
      <c r="GC110" s="17"/>
      <c r="GD110" s="13"/>
      <c r="GE110" s="13"/>
      <c r="GF110" s="13"/>
      <c r="GG110" s="13"/>
      <c r="GH110" s="13"/>
      <c r="GI110" s="13"/>
      <c r="GJ110" s="13"/>
      <c r="GK110" s="13"/>
    </row>
    <row r="111" spans="1:193" ht="18" customHeight="1">
      <c r="A111" s="18" t="str">
        <f t="shared" si="3"/>
        <v/>
      </c>
      <c r="B111" s="19"/>
      <c r="C111" s="20"/>
      <c r="D111" s="19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  <c r="BX111" s="20"/>
      <c r="BY111" s="20"/>
      <c r="BZ111" s="20"/>
      <c r="CA111" s="20"/>
      <c r="CB111" s="20"/>
      <c r="CC111" s="20"/>
      <c r="CD111" s="20"/>
      <c r="CE111" s="20"/>
      <c r="CF111" s="20"/>
      <c r="CG111" s="20"/>
      <c r="CH111" s="20"/>
      <c r="CI111" s="20"/>
      <c r="CJ111" s="20"/>
      <c r="CK111" s="20"/>
      <c r="CL111" s="20"/>
      <c r="CM111" s="20"/>
      <c r="CN111" s="20"/>
      <c r="CO111" s="20"/>
      <c r="CP111" s="20"/>
      <c r="CQ111" s="20"/>
      <c r="CR111" s="20"/>
      <c r="CS111" s="20"/>
      <c r="CT111" s="20"/>
      <c r="CU111" s="20"/>
      <c r="CV111" s="20"/>
      <c r="CW111" s="20"/>
      <c r="CX111" s="20"/>
      <c r="CY111" s="20"/>
      <c r="CZ111" s="20"/>
      <c r="DA111" s="20"/>
      <c r="DB111" s="20"/>
      <c r="DC111" s="20"/>
      <c r="DD111" s="20"/>
      <c r="DE111" s="20"/>
      <c r="DF111" s="20"/>
      <c r="DG111" s="20"/>
      <c r="DH111" s="20"/>
      <c r="DI111" s="20"/>
      <c r="DJ111" s="20"/>
      <c r="DK111" s="20"/>
      <c r="DL111" s="20"/>
      <c r="DM111" s="20"/>
      <c r="DN111" s="20"/>
      <c r="DO111" s="20"/>
      <c r="DP111" s="20"/>
      <c r="DQ111" s="20"/>
      <c r="DR111" s="20"/>
      <c r="DS111" s="20"/>
      <c r="DT111" s="20"/>
      <c r="DU111" s="20"/>
      <c r="DV111" s="20"/>
      <c r="DW111" s="20"/>
      <c r="DX111" s="20"/>
      <c r="DY111" s="20"/>
      <c r="DZ111" s="20"/>
      <c r="EA111" s="20"/>
      <c r="EB111" s="20"/>
      <c r="EC111" s="20"/>
      <c r="ED111" s="20"/>
      <c r="EE111" s="20"/>
      <c r="EF111" s="20"/>
      <c r="EG111" s="20"/>
      <c r="EH111" s="20"/>
      <c r="EI111" s="20"/>
      <c r="EJ111" s="20"/>
      <c r="EK111" s="20"/>
      <c r="EL111" s="20"/>
      <c r="EM111" s="20"/>
      <c r="EN111" s="20"/>
      <c r="EO111" s="20"/>
      <c r="EP111" s="20"/>
      <c r="EQ111" s="20"/>
      <c r="ER111" s="20"/>
      <c r="ES111" s="20"/>
      <c r="ET111" s="20"/>
      <c r="EU111" s="20"/>
      <c r="EV111" s="20"/>
      <c r="EW111" s="20"/>
      <c r="EX111" s="20"/>
      <c r="EY111" s="20"/>
      <c r="EZ111" s="20"/>
      <c r="FA111" s="20"/>
      <c r="FB111" s="20"/>
      <c r="FC111" s="20"/>
      <c r="FD111" s="20"/>
      <c r="FE111" s="20"/>
      <c r="FF111" s="20"/>
      <c r="FG111" s="20"/>
      <c r="FH111" s="20"/>
      <c r="FI111" s="20"/>
      <c r="FJ111" s="20"/>
      <c r="FK111" s="20"/>
      <c r="FL111" s="20"/>
      <c r="FM111" s="20"/>
      <c r="FN111" s="20"/>
      <c r="FO111" s="20"/>
      <c r="FP111" s="20"/>
      <c r="FQ111" s="20"/>
      <c r="FR111" s="20"/>
      <c r="FS111" s="20"/>
      <c r="FT111" s="20"/>
      <c r="FU111" s="20"/>
      <c r="FV111" s="20"/>
      <c r="FW111" s="20"/>
      <c r="FX111" s="20"/>
      <c r="FY111" s="20"/>
      <c r="FZ111" s="20"/>
      <c r="GA111" s="20"/>
      <c r="GB111" s="20"/>
      <c r="GC111" s="20"/>
      <c r="GD111" s="20"/>
      <c r="GE111" s="20"/>
      <c r="GF111" s="20"/>
      <c r="GG111" s="20"/>
      <c r="GH111" s="20"/>
      <c r="GI111" s="20"/>
      <c r="GJ111" s="20"/>
      <c r="GK111" s="20"/>
    </row>
    <row r="112" spans="1:193" ht="18" customHeight="1">
      <c r="A112" s="9" t="str">
        <f t="shared" si="3"/>
        <v/>
      </c>
      <c r="B112" s="10"/>
      <c r="C112" s="11"/>
      <c r="D112" s="10"/>
      <c r="E112" s="11"/>
      <c r="F112" s="11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5"/>
      <c r="CN112" s="15"/>
      <c r="CO112" s="15"/>
      <c r="CP112" s="15"/>
      <c r="CQ112" s="15"/>
      <c r="CR112" s="15"/>
      <c r="CS112" s="15"/>
      <c r="CT112" s="15"/>
      <c r="CU112" s="15"/>
      <c r="CV112" s="15"/>
      <c r="CW112" s="15"/>
      <c r="CX112" s="15"/>
      <c r="CY112" s="15"/>
      <c r="CZ112" s="15"/>
      <c r="DA112" s="15"/>
      <c r="DB112" s="15"/>
      <c r="DC112" s="15"/>
      <c r="DD112" s="15"/>
      <c r="DE112" s="15"/>
      <c r="DF112" s="15"/>
      <c r="DG112" s="14"/>
      <c r="DH112" s="14"/>
      <c r="DI112" s="14"/>
      <c r="DJ112" s="14"/>
      <c r="DK112" s="14"/>
      <c r="DL112" s="14"/>
      <c r="DM112" s="14"/>
      <c r="DN112" s="14"/>
      <c r="DO112" s="14"/>
      <c r="DP112" s="14"/>
      <c r="DQ112" s="14"/>
      <c r="DR112" s="14"/>
      <c r="DS112" s="14"/>
      <c r="DT112" s="14"/>
      <c r="DU112" s="14"/>
      <c r="DV112" s="14"/>
      <c r="DW112" s="14"/>
      <c r="DX112" s="14"/>
      <c r="DY112" s="14"/>
      <c r="DZ112" s="14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6"/>
      <c r="EV112" s="16"/>
      <c r="EW112" s="16"/>
      <c r="EX112" s="16"/>
      <c r="EY112" s="16"/>
      <c r="EZ112" s="16"/>
      <c r="FA112" s="16"/>
      <c r="FB112" s="16"/>
      <c r="FC112" s="16"/>
      <c r="FD112" s="16"/>
      <c r="FE112" s="16"/>
      <c r="FF112" s="16"/>
      <c r="FG112" s="16"/>
      <c r="FH112" s="16"/>
      <c r="FI112" s="16"/>
      <c r="FJ112" s="16"/>
      <c r="FK112" s="16"/>
      <c r="FL112" s="16"/>
      <c r="FM112" s="16"/>
      <c r="FN112" s="16"/>
      <c r="FO112" s="17"/>
      <c r="FP112" s="17"/>
      <c r="FQ112" s="17"/>
      <c r="FR112" s="17"/>
      <c r="FS112" s="17"/>
      <c r="FT112" s="17"/>
      <c r="FU112" s="17"/>
      <c r="FV112" s="17"/>
      <c r="FW112" s="17"/>
      <c r="FX112" s="17"/>
      <c r="FY112" s="17"/>
      <c r="FZ112" s="17"/>
      <c r="GA112" s="17"/>
      <c r="GB112" s="17"/>
      <c r="GC112" s="17"/>
      <c r="GD112" s="13"/>
      <c r="GE112" s="13"/>
      <c r="GF112" s="13"/>
      <c r="GG112" s="13"/>
      <c r="GH112" s="13"/>
      <c r="GI112" s="13"/>
      <c r="GJ112" s="13"/>
      <c r="GK112" s="13"/>
    </row>
    <row r="113" spans="1:193" ht="18" customHeight="1">
      <c r="A113" s="18" t="str">
        <f t="shared" si="3"/>
        <v/>
      </c>
      <c r="B113" s="19"/>
      <c r="C113" s="20"/>
      <c r="D113" s="19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/>
      <c r="BP113" s="20"/>
      <c r="BQ113" s="20"/>
      <c r="BR113" s="20"/>
      <c r="BS113" s="20"/>
      <c r="BT113" s="20"/>
      <c r="BU113" s="20"/>
      <c r="BV113" s="20"/>
      <c r="BW113" s="20"/>
      <c r="BX113" s="20"/>
      <c r="BY113" s="20"/>
      <c r="BZ113" s="20"/>
      <c r="CA113" s="20"/>
      <c r="CB113" s="20"/>
      <c r="CC113" s="20"/>
      <c r="CD113" s="20"/>
      <c r="CE113" s="20"/>
      <c r="CF113" s="20"/>
      <c r="CG113" s="20"/>
      <c r="CH113" s="20"/>
      <c r="CI113" s="20"/>
      <c r="CJ113" s="20"/>
      <c r="CK113" s="20"/>
      <c r="CL113" s="20"/>
      <c r="CM113" s="20"/>
      <c r="CN113" s="20"/>
      <c r="CO113" s="20"/>
      <c r="CP113" s="20"/>
      <c r="CQ113" s="20"/>
      <c r="CR113" s="20"/>
      <c r="CS113" s="20"/>
      <c r="CT113" s="20"/>
      <c r="CU113" s="20"/>
      <c r="CV113" s="20"/>
      <c r="CW113" s="20"/>
      <c r="CX113" s="20"/>
      <c r="CY113" s="20"/>
      <c r="CZ113" s="20"/>
      <c r="DA113" s="20"/>
      <c r="DB113" s="20"/>
      <c r="DC113" s="20"/>
      <c r="DD113" s="20"/>
      <c r="DE113" s="20"/>
      <c r="DF113" s="20"/>
      <c r="DG113" s="20"/>
      <c r="DH113" s="20"/>
      <c r="DI113" s="20"/>
      <c r="DJ113" s="20"/>
      <c r="DK113" s="20"/>
      <c r="DL113" s="20"/>
      <c r="DM113" s="20"/>
      <c r="DN113" s="20"/>
      <c r="DO113" s="20"/>
      <c r="DP113" s="20"/>
      <c r="DQ113" s="20"/>
      <c r="DR113" s="20"/>
      <c r="DS113" s="20"/>
      <c r="DT113" s="20"/>
      <c r="DU113" s="20"/>
      <c r="DV113" s="20"/>
      <c r="DW113" s="20"/>
      <c r="DX113" s="20"/>
      <c r="DY113" s="20"/>
      <c r="DZ113" s="20"/>
      <c r="EA113" s="20"/>
      <c r="EB113" s="20"/>
      <c r="EC113" s="20"/>
      <c r="ED113" s="20"/>
      <c r="EE113" s="20"/>
      <c r="EF113" s="20"/>
      <c r="EG113" s="20"/>
      <c r="EH113" s="20"/>
      <c r="EI113" s="20"/>
      <c r="EJ113" s="20"/>
      <c r="EK113" s="20"/>
      <c r="EL113" s="20"/>
      <c r="EM113" s="20"/>
      <c r="EN113" s="20"/>
      <c r="EO113" s="20"/>
      <c r="EP113" s="20"/>
      <c r="EQ113" s="20"/>
      <c r="ER113" s="20"/>
      <c r="ES113" s="20"/>
      <c r="ET113" s="20"/>
      <c r="EU113" s="20"/>
      <c r="EV113" s="20"/>
      <c r="EW113" s="20"/>
      <c r="EX113" s="20"/>
      <c r="EY113" s="20"/>
      <c r="EZ113" s="20"/>
      <c r="FA113" s="20"/>
      <c r="FB113" s="20"/>
      <c r="FC113" s="20"/>
      <c r="FD113" s="20"/>
      <c r="FE113" s="20"/>
      <c r="FF113" s="20"/>
      <c r="FG113" s="20"/>
      <c r="FH113" s="20"/>
      <c r="FI113" s="20"/>
      <c r="FJ113" s="20"/>
      <c r="FK113" s="20"/>
      <c r="FL113" s="20"/>
      <c r="FM113" s="20"/>
      <c r="FN113" s="20"/>
      <c r="FO113" s="20"/>
      <c r="FP113" s="20"/>
      <c r="FQ113" s="20"/>
      <c r="FR113" s="20"/>
      <c r="FS113" s="20"/>
      <c r="FT113" s="20"/>
      <c r="FU113" s="20"/>
      <c r="FV113" s="20"/>
      <c r="FW113" s="20"/>
      <c r="FX113" s="20"/>
      <c r="FY113" s="20"/>
      <c r="FZ113" s="20"/>
      <c r="GA113" s="20"/>
      <c r="GB113" s="20"/>
      <c r="GC113" s="20"/>
      <c r="GD113" s="20"/>
      <c r="GE113" s="20"/>
      <c r="GF113" s="20"/>
      <c r="GG113" s="20"/>
      <c r="GH113" s="20"/>
      <c r="GI113" s="20"/>
      <c r="GJ113" s="20"/>
      <c r="GK113" s="20"/>
    </row>
    <row r="114" spans="1:193" ht="18" customHeight="1">
      <c r="A114" s="9" t="str">
        <f t="shared" si="3"/>
        <v/>
      </c>
      <c r="B114" s="10"/>
      <c r="C114" s="11"/>
      <c r="D114" s="10"/>
      <c r="E114" s="11"/>
      <c r="F114" s="11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  <c r="BQ114" s="15"/>
      <c r="BR114" s="15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  <c r="CD114" s="12"/>
      <c r="CE114" s="12"/>
      <c r="CF114" s="12"/>
      <c r="CG114" s="12"/>
      <c r="CH114" s="12"/>
      <c r="CI114" s="12"/>
      <c r="CJ114" s="12"/>
      <c r="CK114" s="12"/>
      <c r="CL114" s="12"/>
      <c r="CM114" s="15"/>
      <c r="CN114" s="15"/>
      <c r="CO114" s="15"/>
      <c r="CP114" s="15"/>
      <c r="CQ114" s="15"/>
      <c r="CR114" s="15"/>
      <c r="CS114" s="15"/>
      <c r="CT114" s="15"/>
      <c r="CU114" s="15"/>
      <c r="CV114" s="15"/>
      <c r="CW114" s="15"/>
      <c r="CX114" s="15"/>
      <c r="CY114" s="15"/>
      <c r="CZ114" s="15"/>
      <c r="DA114" s="15"/>
      <c r="DB114" s="15"/>
      <c r="DC114" s="15"/>
      <c r="DD114" s="15"/>
      <c r="DE114" s="15"/>
      <c r="DF114" s="15"/>
      <c r="DG114" s="14"/>
      <c r="DH114" s="14"/>
      <c r="DI114" s="14"/>
      <c r="DJ114" s="14"/>
      <c r="DK114" s="14"/>
      <c r="DL114" s="14"/>
      <c r="DM114" s="14"/>
      <c r="DN114" s="14"/>
      <c r="DO114" s="14"/>
      <c r="DP114" s="14"/>
      <c r="DQ114" s="14"/>
      <c r="DR114" s="14"/>
      <c r="DS114" s="14"/>
      <c r="DT114" s="14"/>
      <c r="DU114" s="14"/>
      <c r="DV114" s="14"/>
      <c r="DW114" s="14"/>
      <c r="DX114" s="14"/>
      <c r="DY114" s="14"/>
      <c r="DZ114" s="14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6"/>
      <c r="EV114" s="16"/>
      <c r="EW114" s="16"/>
      <c r="EX114" s="16"/>
      <c r="EY114" s="16"/>
      <c r="EZ114" s="16"/>
      <c r="FA114" s="16"/>
      <c r="FB114" s="16"/>
      <c r="FC114" s="16"/>
      <c r="FD114" s="16"/>
      <c r="FE114" s="16"/>
      <c r="FF114" s="16"/>
      <c r="FG114" s="16"/>
      <c r="FH114" s="16"/>
      <c r="FI114" s="16"/>
      <c r="FJ114" s="16"/>
      <c r="FK114" s="16"/>
      <c r="FL114" s="16"/>
      <c r="FM114" s="16"/>
      <c r="FN114" s="16"/>
      <c r="FO114" s="17"/>
      <c r="FP114" s="17"/>
      <c r="FQ114" s="17"/>
      <c r="FR114" s="17"/>
      <c r="FS114" s="17"/>
      <c r="FT114" s="17"/>
      <c r="FU114" s="17"/>
      <c r="FV114" s="17"/>
      <c r="FW114" s="17"/>
      <c r="FX114" s="17"/>
      <c r="FY114" s="17"/>
      <c r="FZ114" s="17"/>
      <c r="GA114" s="17"/>
      <c r="GB114" s="17"/>
      <c r="GC114" s="17"/>
      <c r="GD114" s="13"/>
      <c r="GE114" s="13"/>
      <c r="GF114" s="13"/>
      <c r="GG114" s="13"/>
      <c r="GH114" s="13"/>
      <c r="GI114" s="13"/>
      <c r="GJ114" s="13"/>
      <c r="GK114" s="13"/>
    </row>
    <row r="115" spans="1:193" ht="18" customHeight="1">
      <c r="A115" s="18" t="str">
        <f t="shared" si="3"/>
        <v/>
      </c>
      <c r="B115" s="19"/>
      <c r="C115" s="20"/>
      <c r="D115" s="19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  <c r="BO115" s="20"/>
      <c r="BP115" s="20"/>
      <c r="BQ115" s="20"/>
      <c r="BR115" s="20"/>
      <c r="BS115" s="20"/>
      <c r="BT115" s="20"/>
      <c r="BU115" s="20"/>
      <c r="BV115" s="20"/>
      <c r="BW115" s="20"/>
      <c r="BX115" s="20"/>
      <c r="BY115" s="20"/>
      <c r="BZ115" s="20"/>
      <c r="CA115" s="20"/>
      <c r="CB115" s="20"/>
      <c r="CC115" s="20"/>
      <c r="CD115" s="20"/>
      <c r="CE115" s="20"/>
      <c r="CF115" s="20"/>
      <c r="CG115" s="20"/>
      <c r="CH115" s="20"/>
      <c r="CI115" s="20"/>
      <c r="CJ115" s="20"/>
      <c r="CK115" s="20"/>
      <c r="CL115" s="20"/>
      <c r="CM115" s="20"/>
      <c r="CN115" s="20"/>
      <c r="CO115" s="20"/>
      <c r="CP115" s="20"/>
      <c r="CQ115" s="20"/>
      <c r="CR115" s="20"/>
      <c r="CS115" s="20"/>
      <c r="CT115" s="20"/>
      <c r="CU115" s="20"/>
      <c r="CV115" s="20"/>
      <c r="CW115" s="20"/>
      <c r="CX115" s="20"/>
      <c r="CY115" s="20"/>
      <c r="CZ115" s="20"/>
      <c r="DA115" s="20"/>
      <c r="DB115" s="20"/>
      <c r="DC115" s="20"/>
      <c r="DD115" s="20"/>
      <c r="DE115" s="20"/>
      <c r="DF115" s="20"/>
      <c r="DG115" s="20"/>
      <c r="DH115" s="20"/>
      <c r="DI115" s="20"/>
      <c r="DJ115" s="20"/>
      <c r="DK115" s="20"/>
      <c r="DL115" s="20"/>
      <c r="DM115" s="20"/>
      <c r="DN115" s="20"/>
      <c r="DO115" s="20"/>
      <c r="DP115" s="20"/>
      <c r="DQ115" s="20"/>
      <c r="DR115" s="20"/>
      <c r="DS115" s="20"/>
      <c r="DT115" s="20"/>
      <c r="DU115" s="20"/>
      <c r="DV115" s="20"/>
      <c r="DW115" s="20"/>
      <c r="DX115" s="20"/>
      <c r="DY115" s="20"/>
      <c r="DZ115" s="20"/>
      <c r="EA115" s="20"/>
      <c r="EB115" s="20"/>
      <c r="EC115" s="20"/>
      <c r="ED115" s="20"/>
      <c r="EE115" s="20"/>
      <c r="EF115" s="20"/>
      <c r="EG115" s="20"/>
      <c r="EH115" s="20"/>
      <c r="EI115" s="20"/>
      <c r="EJ115" s="20"/>
      <c r="EK115" s="20"/>
      <c r="EL115" s="20"/>
      <c r="EM115" s="20"/>
      <c r="EN115" s="20"/>
      <c r="EO115" s="20"/>
      <c r="EP115" s="20"/>
      <c r="EQ115" s="20"/>
      <c r="ER115" s="20"/>
      <c r="ES115" s="20"/>
      <c r="ET115" s="20"/>
      <c r="EU115" s="20"/>
      <c r="EV115" s="20"/>
      <c r="EW115" s="20"/>
      <c r="EX115" s="20"/>
      <c r="EY115" s="20"/>
      <c r="EZ115" s="20"/>
      <c r="FA115" s="20"/>
      <c r="FB115" s="20"/>
      <c r="FC115" s="20"/>
      <c r="FD115" s="20"/>
      <c r="FE115" s="20"/>
      <c r="FF115" s="20"/>
      <c r="FG115" s="20"/>
      <c r="FH115" s="20"/>
      <c r="FI115" s="20"/>
      <c r="FJ115" s="20"/>
      <c r="FK115" s="20"/>
      <c r="FL115" s="20"/>
      <c r="FM115" s="20"/>
      <c r="FN115" s="20"/>
      <c r="FO115" s="20"/>
      <c r="FP115" s="20"/>
      <c r="FQ115" s="20"/>
      <c r="FR115" s="20"/>
      <c r="FS115" s="20"/>
      <c r="FT115" s="20"/>
      <c r="FU115" s="20"/>
      <c r="FV115" s="20"/>
      <c r="FW115" s="20"/>
      <c r="FX115" s="20"/>
      <c r="FY115" s="20"/>
      <c r="FZ115" s="20"/>
      <c r="GA115" s="20"/>
      <c r="GB115" s="20"/>
      <c r="GC115" s="20"/>
      <c r="GD115" s="20"/>
      <c r="GE115" s="20"/>
      <c r="GF115" s="20"/>
      <c r="GG115" s="20"/>
      <c r="GH115" s="20"/>
      <c r="GI115" s="20"/>
      <c r="GJ115" s="20"/>
      <c r="GK115" s="20"/>
    </row>
    <row r="116" spans="1:193" ht="18" customHeight="1">
      <c r="A116" s="9" t="str">
        <f t="shared" si="3"/>
        <v/>
      </c>
      <c r="B116" s="10"/>
      <c r="C116" s="11"/>
      <c r="D116" s="10"/>
      <c r="E116" s="11"/>
      <c r="F116" s="11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  <c r="CD116" s="12"/>
      <c r="CE116" s="12"/>
      <c r="CF116" s="12"/>
      <c r="CG116" s="12"/>
      <c r="CH116" s="12"/>
      <c r="CI116" s="12"/>
      <c r="CJ116" s="12"/>
      <c r="CK116" s="12"/>
      <c r="CL116" s="12"/>
      <c r="CM116" s="15"/>
      <c r="CN116" s="15"/>
      <c r="CO116" s="15"/>
      <c r="CP116" s="15"/>
      <c r="CQ116" s="15"/>
      <c r="CR116" s="15"/>
      <c r="CS116" s="15"/>
      <c r="CT116" s="15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  <c r="DF116" s="15"/>
      <c r="DG116" s="14"/>
      <c r="DH116" s="14"/>
      <c r="DI116" s="14"/>
      <c r="DJ116" s="14"/>
      <c r="DK116" s="14"/>
      <c r="DL116" s="14"/>
      <c r="DM116" s="14"/>
      <c r="DN116" s="14"/>
      <c r="DO116" s="14"/>
      <c r="DP116" s="14"/>
      <c r="DQ116" s="14"/>
      <c r="DR116" s="14"/>
      <c r="DS116" s="14"/>
      <c r="DT116" s="14"/>
      <c r="DU116" s="14"/>
      <c r="DV116" s="14"/>
      <c r="DW116" s="14"/>
      <c r="DX116" s="14"/>
      <c r="DY116" s="14"/>
      <c r="DZ116" s="14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6"/>
      <c r="EV116" s="16"/>
      <c r="EW116" s="16"/>
      <c r="EX116" s="16"/>
      <c r="EY116" s="16"/>
      <c r="EZ116" s="16"/>
      <c r="FA116" s="16"/>
      <c r="FB116" s="16"/>
      <c r="FC116" s="16"/>
      <c r="FD116" s="16"/>
      <c r="FE116" s="16"/>
      <c r="FF116" s="16"/>
      <c r="FG116" s="16"/>
      <c r="FH116" s="16"/>
      <c r="FI116" s="16"/>
      <c r="FJ116" s="16"/>
      <c r="FK116" s="16"/>
      <c r="FL116" s="16"/>
      <c r="FM116" s="16"/>
      <c r="FN116" s="16"/>
      <c r="FO116" s="17"/>
      <c r="FP116" s="17"/>
      <c r="FQ116" s="17"/>
      <c r="FR116" s="17"/>
      <c r="FS116" s="17"/>
      <c r="FT116" s="17"/>
      <c r="FU116" s="17"/>
      <c r="FV116" s="17"/>
      <c r="FW116" s="17"/>
      <c r="FX116" s="17"/>
      <c r="FY116" s="17"/>
      <c r="FZ116" s="17"/>
      <c r="GA116" s="17"/>
      <c r="GB116" s="17"/>
      <c r="GC116" s="17"/>
      <c r="GD116" s="13"/>
      <c r="GE116" s="13"/>
      <c r="GF116" s="13"/>
      <c r="GG116" s="13"/>
      <c r="GH116" s="13"/>
      <c r="GI116" s="13"/>
      <c r="GJ116" s="13"/>
      <c r="GK116" s="13"/>
    </row>
    <row r="117" spans="1:193" ht="18" customHeight="1">
      <c r="A117" s="18" t="str">
        <f t="shared" si="3"/>
        <v/>
      </c>
      <c r="B117" s="19"/>
      <c r="C117" s="20"/>
      <c r="D117" s="19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  <c r="BS117" s="20"/>
      <c r="BT117" s="20"/>
      <c r="BU117" s="20"/>
      <c r="BV117" s="20"/>
      <c r="BW117" s="20"/>
      <c r="BX117" s="20"/>
      <c r="BY117" s="20"/>
      <c r="BZ117" s="20"/>
      <c r="CA117" s="20"/>
      <c r="CB117" s="20"/>
      <c r="CC117" s="20"/>
      <c r="CD117" s="20"/>
      <c r="CE117" s="20"/>
      <c r="CF117" s="20"/>
      <c r="CG117" s="20"/>
      <c r="CH117" s="20"/>
      <c r="CI117" s="20"/>
      <c r="CJ117" s="20"/>
      <c r="CK117" s="20"/>
      <c r="CL117" s="20"/>
      <c r="CM117" s="20"/>
      <c r="CN117" s="20"/>
      <c r="CO117" s="20"/>
      <c r="CP117" s="20"/>
      <c r="CQ117" s="20"/>
      <c r="CR117" s="20"/>
      <c r="CS117" s="20"/>
      <c r="CT117" s="20"/>
      <c r="CU117" s="20"/>
      <c r="CV117" s="20"/>
      <c r="CW117" s="20"/>
      <c r="CX117" s="20"/>
      <c r="CY117" s="20"/>
      <c r="CZ117" s="20"/>
      <c r="DA117" s="20"/>
      <c r="DB117" s="20"/>
      <c r="DC117" s="20"/>
      <c r="DD117" s="20"/>
      <c r="DE117" s="20"/>
      <c r="DF117" s="20"/>
      <c r="DG117" s="20"/>
      <c r="DH117" s="20"/>
      <c r="DI117" s="20"/>
      <c r="DJ117" s="20"/>
      <c r="DK117" s="20"/>
      <c r="DL117" s="20"/>
      <c r="DM117" s="20"/>
      <c r="DN117" s="20"/>
      <c r="DO117" s="20"/>
      <c r="DP117" s="20"/>
      <c r="DQ117" s="20"/>
      <c r="DR117" s="20"/>
      <c r="DS117" s="20"/>
      <c r="DT117" s="20"/>
      <c r="DU117" s="20"/>
      <c r="DV117" s="20"/>
      <c r="DW117" s="20"/>
      <c r="DX117" s="20"/>
      <c r="DY117" s="20"/>
      <c r="DZ117" s="20"/>
      <c r="EA117" s="20"/>
      <c r="EB117" s="20"/>
      <c r="EC117" s="20"/>
      <c r="ED117" s="20"/>
      <c r="EE117" s="20"/>
      <c r="EF117" s="20"/>
      <c r="EG117" s="20"/>
      <c r="EH117" s="20"/>
      <c r="EI117" s="20"/>
      <c r="EJ117" s="20"/>
      <c r="EK117" s="20"/>
      <c r="EL117" s="20"/>
      <c r="EM117" s="20"/>
      <c r="EN117" s="20"/>
      <c r="EO117" s="20"/>
      <c r="EP117" s="20"/>
      <c r="EQ117" s="20"/>
      <c r="ER117" s="20"/>
      <c r="ES117" s="20"/>
      <c r="ET117" s="20"/>
      <c r="EU117" s="20"/>
      <c r="EV117" s="20"/>
      <c r="EW117" s="20"/>
      <c r="EX117" s="20"/>
      <c r="EY117" s="20"/>
      <c r="EZ117" s="20"/>
      <c r="FA117" s="20"/>
      <c r="FB117" s="20"/>
      <c r="FC117" s="20"/>
      <c r="FD117" s="20"/>
      <c r="FE117" s="20"/>
      <c r="FF117" s="20"/>
      <c r="FG117" s="20"/>
      <c r="FH117" s="20"/>
      <c r="FI117" s="20"/>
      <c r="FJ117" s="20"/>
      <c r="FK117" s="20"/>
      <c r="FL117" s="20"/>
      <c r="FM117" s="20"/>
      <c r="FN117" s="20"/>
      <c r="FO117" s="20"/>
      <c r="FP117" s="20"/>
      <c r="FQ117" s="20"/>
      <c r="FR117" s="20"/>
      <c r="FS117" s="20"/>
      <c r="FT117" s="20"/>
      <c r="FU117" s="20"/>
      <c r="FV117" s="20"/>
      <c r="FW117" s="20"/>
      <c r="FX117" s="20"/>
      <c r="FY117" s="20"/>
      <c r="FZ117" s="20"/>
      <c r="GA117" s="20"/>
      <c r="GB117" s="20"/>
      <c r="GC117" s="20"/>
      <c r="GD117" s="20"/>
      <c r="GE117" s="20"/>
      <c r="GF117" s="20"/>
      <c r="GG117" s="20"/>
      <c r="GH117" s="20"/>
      <c r="GI117" s="20"/>
      <c r="GJ117" s="20"/>
      <c r="GK117" s="20"/>
    </row>
    <row r="118" spans="1:193" ht="18" customHeight="1">
      <c r="A118" s="9" t="str">
        <f t="shared" si="3"/>
        <v/>
      </c>
      <c r="B118" s="10"/>
      <c r="C118" s="11"/>
      <c r="D118" s="10"/>
      <c r="E118" s="11"/>
      <c r="F118" s="11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  <c r="CF118" s="12"/>
      <c r="CG118" s="12"/>
      <c r="CH118" s="12"/>
      <c r="CI118" s="12"/>
      <c r="CJ118" s="12"/>
      <c r="CK118" s="12"/>
      <c r="CL118" s="12"/>
      <c r="CM118" s="15"/>
      <c r="CN118" s="15"/>
      <c r="CO118" s="15"/>
      <c r="CP118" s="15"/>
      <c r="CQ118" s="15"/>
      <c r="CR118" s="15"/>
      <c r="CS118" s="15"/>
      <c r="CT118" s="15"/>
      <c r="CU118" s="15"/>
      <c r="CV118" s="15"/>
      <c r="CW118" s="15"/>
      <c r="CX118" s="15"/>
      <c r="CY118" s="15"/>
      <c r="CZ118" s="15"/>
      <c r="DA118" s="15"/>
      <c r="DB118" s="15"/>
      <c r="DC118" s="15"/>
      <c r="DD118" s="15"/>
      <c r="DE118" s="15"/>
      <c r="DF118" s="15"/>
      <c r="DG118" s="14"/>
      <c r="DH118" s="14"/>
      <c r="DI118" s="14"/>
      <c r="DJ118" s="14"/>
      <c r="DK118" s="14"/>
      <c r="DL118" s="14"/>
      <c r="DM118" s="14"/>
      <c r="DN118" s="14"/>
      <c r="DO118" s="14"/>
      <c r="DP118" s="14"/>
      <c r="DQ118" s="14"/>
      <c r="DR118" s="14"/>
      <c r="DS118" s="14"/>
      <c r="DT118" s="14"/>
      <c r="DU118" s="14"/>
      <c r="DV118" s="14"/>
      <c r="DW118" s="14"/>
      <c r="DX118" s="14"/>
      <c r="DY118" s="14"/>
      <c r="DZ118" s="14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6"/>
      <c r="EV118" s="16"/>
      <c r="EW118" s="16"/>
      <c r="EX118" s="16"/>
      <c r="EY118" s="16"/>
      <c r="EZ118" s="16"/>
      <c r="FA118" s="16"/>
      <c r="FB118" s="16"/>
      <c r="FC118" s="16"/>
      <c r="FD118" s="16"/>
      <c r="FE118" s="16"/>
      <c r="FF118" s="16"/>
      <c r="FG118" s="16"/>
      <c r="FH118" s="16"/>
      <c r="FI118" s="16"/>
      <c r="FJ118" s="16"/>
      <c r="FK118" s="16"/>
      <c r="FL118" s="16"/>
      <c r="FM118" s="16"/>
      <c r="FN118" s="16"/>
      <c r="FO118" s="17"/>
      <c r="FP118" s="17"/>
      <c r="FQ118" s="17"/>
      <c r="FR118" s="17"/>
      <c r="FS118" s="17"/>
      <c r="FT118" s="17"/>
      <c r="FU118" s="17"/>
      <c r="FV118" s="17"/>
      <c r="FW118" s="17"/>
      <c r="FX118" s="17"/>
      <c r="FY118" s="17"/>
      <c r="FZ118" s="17"/>
      <c r="GA118" s="17"/>
      <c r="GB118" s="17"/>
      <c r="GC118" s="17"/>
      <c r="GD118" s="13"/>
      <c r="GE118" s="13"/>
      <c r="GF118" s="13"/>
      <c r="GG118" s="13"/>
      <c r="GH118" s="13"/>
      <c r="GI118" s="13"/>
      <c r="GJ118" s="13"/>
      <c r="GK118" s="13"/>
    </row>
    <row r="119" spans="1:193" ht="18" customHeight="1">
      <c r="A119" s="18" t="str">
        <f t="shared" si="3"/>
        <v/>
      </c>
      <c r="B119" s="19"/>
      <c r="C119" s="20"/>
      <c r="D119" s="19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  <c r="BS119" s="20"/>
      <c r="BT119" s="20"/>
      <c r="BU119" s="20"/>
      <c r="BV119" s="20"/>
      <c r="BW119" s="20"/>
      <c r="BX119" s="20"/>
      <c r="BY119" s="20"/>
      <c r="BZ119" s="20"/>
      <c r="CA119" s="20"/>
      <c r="CB119" s="20"/>
      <c r="CC119" s="20"/>
      <c r="CD119" s="20"/>
      <c r="CE119" s="20"/>
      <c r="CF119" s="20"/>
      <c r="CG119" s="20"/>
      <c r="CH119" s="20"/>
      <c r="CI119" s="20"/>
      <c r="CJ119" s="20"/>
      <c r="CK119" s="20"/>
      <c r="CL119" s="20"/>
      <c r="CM119" s="20"/>
      <c r="CN119" s="20"/>
      <c r="CO119" s="20"/>
      <c r="CP119" s="20"/>
      <c r="CQ119" s="20"/>
      <c r="CR119" s="20"/>
      <c r="CS119" s="20"/>
      <c r="CT119" s="20"/>
      <c r="CU119" s="20"/>
      <c r="CV119" s="20"/>
      <c r="CW119" s="20"/>
      <c r="CX119" s="20"/>
      <c r="CY119" s="20"/>
      <c r="CZ119" s="20"/>
      <c r="DA119" s="20"/>
      <c r="DB119" s="20"/>
      <c r="DC119" s="20"/>
      <c r="DD119" s="20"/>
      <c r="DE119" s="20"/>
      <c r="DF119" s="20"/>
      <c r="DG119" s="20"/>
      <c r="DH119" s="20"/>
      <c r="DI119" s="20"/>
      <c r="DJ119" s="20"/>
      <c r="DK119" s="20"/>
      <c r="DL119" s="20"/>
      <c r="DM119" s="20"/>
      <c r="DN119" s="20"/>
      <c r="DO119" s="20"/>
      <c r="DP119" s="20"/>
      <c r="DQ119" s="20"/>
      <c r="DR119" s="20"/>
      <c r="DS119" s="20"/>
      <c r="DT119" s="20"/>
      <c r="DU119" s="20"/>
      <c r="DV119" s="20"/>
      <c r="DW119" s="20"/>
      <c r="DX119" s="20"/>
      <c r="DY119" s="20"/>
      <c r="DZ119" s="20"/>
      <c r="EA119" s="20"/>
      <c r="EB119" s="20"/>
      <c r="EC119" s="20"/>
      <c r="ED119" s="20"/>
      <c r="EE119" s="20"/>
      <c r="EF119" s="20"/>
      <c r="EG119" s="20"/>
      <c r="EH119" s="20"/>
      <c r="EI119" s="20"/>
      <c r="EJ119" s="20"/>
      <c r="EK119" s="20"/>
      <c r="EL119" s="20"/>
      <c r="EM119" s="20"/>
      <c r="EN119" s="20"/>
      <c r="EO119" s="20"/>
      <c r="EP119" s="20"/>
      <c r="EQ119" s="20"/>
      <c r="ER119" s="20"/>
      <c r="ES119" s="20"/>
      <c r="ET119" s="20"/>
      <c r="EU119" s="20"/>
      <c r="EV119" s="20"/>
      <c r="EW119" s="20"/>
      <c r="EX119" s="20"/>
      <c r="EY119" s="20"/>
      <c r="EZ119" s="20"/>
      <c r="FA119" s="20"/>
      <c r="FB119" s="20"/>
      <c r="FC119" s="20"/>
      <c r="FD119" s="20"/>
      <c r="FE119" s="20"/>
      <c r="FF119" s="20"/>
      <c r="FG119" s="20"/>
      <c r="FH119" s="20"/>
      <c r="FI119" s="20"/>
      <c r="FJ119" s="20"/>
      <c r="FK119" s="20"/>
      <c r="FL119" s="20"/>
      <c r="FM119" s="20"/>
      <c r="FN119" s="20"/>
      <c r="FO119" s="20"/>
      <c r="FP119" s="20"/>
      <c r="FQ119" s="20"/>
      <c r="FR119" s="20"/>
      <c r="FS119" s="20"/>
      <c r="FT119" s="20"/>
      <c r="FU119" s="20"/>
      <c r="FV119" s="20"/>
      <c r="FW119" s="20"/>
      <c r="FX119" s="20"/>
      <c r="FY119" s="20"/>
      <c r="FZ119" s="20"/>
      <c r="GA119" s="20"/>
      <c r="GB119" s="20"/>
      <c r="GC119" s="20"/>
      <c r="GD119" s="20"/>
      <c r="GE119" s="20"/>
      <c r="GF119" s="20"/>
      <c r="GG119" s="20"/>
      <c r="GH119" s="20"/>
      <c r="GI119" s="20"/>
      <c r="GJ119" s="20"/>
      <c r="GK119" s="20"/>
    </row>
    <row r="120" spans="1:193" ht="18" customHeight="1">
      <c r="A120" s="9" t="str">
        <f t="shared" si="3"/>
        <v/>
      </c>
      <c r="B120" s="10"/>
      <c r="C120" s="11"/>
      <c r="D120" s="10"/>
      <c r="E120" s="11"/>
      <c r="F120" s="11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  <c r="BQ120" s="15"/>
      <c r="BR120" s="15"/>
      <c r="BS120" s="12"/>
      <c r="BT120" s="12"/>
      <c r="BU120" s="12"/>
      <c r="BV120" s="12"/>
      <c r="BW120" s="12"/>
      <c r="BX120" s="12"/>
      <c r="BY120" s="12"/>
      <c r="BZ120" s="12"/>
      <c r="CA120" s="12"/>
      <c r="CB120" s="12"/>
      <c r="CC120" s="12"/>
      <c r="CD120" s="12"/>
      <c r="CE120" s="12"/>
      <c r="CF120" s="12"/>
      <c r="CG120" s="12"/>
      <c r="CH120" s="12"/>
      <c r="CI120" s="12"/>
      <c r="CJ120" s="12"/>
      <c r="CK120" s="12"/>
      <c r="CL120" s="12"/>
      <c r="CM120" s="15"/>
      <c r="CN120" s="15"/>
      <c r="CO120" s="15"/>
      <c r="CP120" s="15"/>
      <c r="CQ120" s="15"/>
      <c r="CR120" s="15"/>
      <c r="CS120" s="15"/>
      <c r="CT120" s="15"/>
      <c r="CU120" s="15"/>
      <c r="CV120" s="15"/>
      <c r="CW120" s="15"/>
      <c r="CX120" s="15"/>
      <c r="CY120" s="15"/>
      <c r="CZ120" s="15"/>
      <c r="DA120" s="15"/>
      <c r="DB120" s="15"/>
      <c r="DC120" s="15"/>
      <c r="DD120" s="15"/>
      <c r="DE120" s="15"/>
      <c r="DF120" s="15"/>
      <c r="DG120" s="14"/>
      <c r="DH120" s="14"/>
      <c r="DI120" s="14"/>
      <c r="DJ120" s="14"/>
      <c r="DK120" s="14"/>
      <c r="DL120" s="14"/>
      <c r="DM120" s="14"/>
      <c r="DN120" s="14"/>
      <c r="DO120" s="14"/>
      <c r="DP120" s="14"/>
      <c r="DQ120" s="14"/>
      <c r="DR120" s="14"/>
      <c r="DS120" s="14"/>
      <c r="DT120" s="14"/>
      <c r="DU120" s="14"/>
      <c r="DV120" s="14"/>
      <c r="DW120" s="14"/>
      <c r="DX120" s="14"/>
      <c r="DY120" s="14"/>
      <c r="DZ120" s="14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6"/>
      <c r="EV120" s="16"/>
      <c r="EW120" s="16"/>
      <c r="EX120" s="16"/>
      <c r="EY120" s="16"/>
      <c r="EZ120" s="16"/>
      <c r="FA120" s="16"/>
      <c r="FB120" s="16"/>
      <c r="FC120" s="16"/>
      <c r="FD120" s="16"/>
      <c r="FE120" s="16"/>
      <c r="FF120" s="16"/>
      <c r="FG120" s="16"/>
      <c r="FH120" s="16"/>
      <c r="FI120" s="16"/>
      <c r="FJ120" s="16"/>
      <c r="FK120" s="16"/>
      <c r="FL120" s="16"/>
      <c r="FM120" s="16"/>
      <c r="FN120" s="16"/>
      <c r="FO120" s="17"/>
      <c r="FP120" s="17"/>
      <c r="FQ120" s="17"/>
      <c r="FR120" s="17"/>
      <c r="FS120" s="17"/>
      <c r="FT120" s="17"/>
      <c r="FU120" s="17"/>
      <c r="FV120" s="17"/>
      <c r="FW120" s="17"/>
      <c r="FX120" s="17"/>
      <c r="FY120" s="17"/>
      <c r="FZ120" s="17"/>
      <c r="GA120" s="17"/>
      <c r="GB120" s="17"/>
      <c r="GC120" s="17"/>
      <c r="GD120" s="13"/>
      <c r="GE120" s="13"/>
      <c r="GF120" s="13"/>
      <c r="GG120" s="13"/>
      <c r="GH120" s="13"/>
      <c r="GI120" s="13"/>
      <c r="GJ120" s="13"/>
      <c r="GK120" s="13"/>
    </row>
    <row r="121" spans="1:193" ht="18" customHeight="1">
      <c r="A121" s="18" t="str">
        <f t="shared" si="3"/>
        <v/>
      </c>
      <c r="B121" s="19"/>
      <c r="C121" s="20"/>
      <c r="D121" s="19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  <c r="BW121" s="20"/>
      <c r="BX121" s="20"/>
      <c r="BY121" s="20"/>
      <c r="BZ121" s="20"/>
      <c r="CA121" s="20"/>
      <c r="CB121" s="20"/>
      <c r="CC121" s="20"/>
      <c r="CD121" s="20"/>
      <c r="CE121" s="20"/>
      <c r="CF121" s="20"/>
      <c r="CG121" s="20"/>
      <c r="CH121" s="20"/>
      <c r="CI121" s="20"/>
      <c r="CJ121" s="20"/>
      <c r="CK121" s="20"/>
      <c r="CL121" s="20"/>
      <c r="CM121" s="20"/>
      <c r="CN121" s="20"/>
      <c r="CO121" s="20"/>
      <c r="CP121" s="20"/>
      <c r="CQ121" s="20"/>
      <c r="CR121" s="20"/>
      <c r="CS121" s="20"/>
      <c r="CT121" s="20"/>
      <c r="CU121" s="20"/>
      <c r="CV121" s="20"/>
      <c r="CW121" s="20"/>
      <c r="CX121" s="20"/>
      <c r="CY121" s="20"/>
      <c r="CZ121" s="20"/>
      <c r="DA121" s="20"/>
      <c r="DB121" s="20"/>
      <c r="DC121" s="20"/>
      <c r="DD121" s="20"/>
      <c r="DE121" s="20"/>
      <c r="DF121" s="20"/>
      <c r="DG121" s="20"/>
      <c r="DH121" s="20"/>
      <c r="DI121" s="20"/>
      <c r="DJ121" s="20"/>
      <c r="DK121" s="20"/>
      <c r="DL121" s="20"/>
      <c r="DM121" s="20"/>
      <c r="DN121" s="20"/>
      <c r="DO121" s="20"/>
      <c r="DP121" s="20"/>
      <c r="DQ121" s="20"/>
      <c r="DR121" s="20"/>
      <c r="DS121" s="20"/>
      <c r="DT121" s="20"/>
      <c r="DU121" s="20"/>
      <c r="DV121" s="20"/>
      <c r="DW121" s="20"/>
      <c r="DX121" s="20"/>
      <c r="DY121" s="20"/>
      <c r="DZ121" s="20"/>
      <c r="EA121" s="20"/>
      <c r="EB121" s="20"/>
      <c r="EC121" s="20"/>
      <c r="ED121" s="20"/>
      <c r="EE121" s="20"/>
      <c r="EF121" s="20"/>
      <c r="EG121" s="20"/>
      <c r="EH121" s="20"/>
      <c r="EI121" s="20"/>
      <c r="EJ121" s="20"/>
      <c r="EK121" s="20"/>
      <c r="EL121" s="20"/>
      <c r="EM121" s="20"/>
      <c r="EN121" s="20"/>
      <c r="EO121" s="20"/>
      <c r="EP121" s="20"/>
      <c r="EQ121" s="20"/>
      <c r="ER121" s="20"/>
      <c r="ES121" s="20"/>
      <c r="ET121" s="20"/>
      <c r="EU121" s="20"/>
      <c r="EV121" s="20"/>
      <c r="EW121" s="20"/>
      <c r="EX121" s="20"/>
      <c r="EY121" s="20"/>
      <c r="EZ121" s="20"/>
      <c r="FA121" s="20"/>
      <c r="FB121" s="20"/>
      <c r="FC121" s="20"/>
      <c r="FD121" s="20"/>
      <c r="FE121" s="20"/>
      <c r="FF121" s="20"/>
      <c r="FG121" s="20"/>
      <c r="FH121" s="20"/>
      <c r="FI121" s="20"/>
      <c r="FJ121" s="20"/>
      <c r="FK121" s="20"/>
      <c r="FL121" s="20"/>
      <c r="FM121" s="20"/>
      <c r="FN121" s="20"/>
      <c r="FO121" s="20"/>
      <c r="FP121" s="20"/>
      <c r="FQ121" s="20"/>
      <c r="FR121" s="20"/>
      <c r="FS121" s="20"/>
      <c r="FT121" s="20"/>
      <c r="FU121" s="20"/>
      <c r="FV121" s="20"/>
      <c r="FW121" s="20"/>
      <c r="FX121" s="20"/>
      <c r="FY121" s="20"/>
      <c r="FZ121" s="20"/>
      <c r="GA121" s="20"/>
      <c r="GB121" s="20"/>
      <c r="GC121" s="20"/>
      <c r="GD121" s="20"/>
      <c r="GE121" s="20"/>
      <c r="GF121" s="20"/>
      <c r="GG121" s="20"/>
      <c r="GH121" s="20"/>
      <c r="GI121" s="20"/>
      <c r="GJ121" s="20"/>
      <c r="GK121" s="20"/>
    </row>
    <row r="122" spans="1:193" ht="18" customHeight="1">
      <c r="A122" s="9" t="str">
        <f t="shared" si="3"/>
        <v/>
      </c>
      <c r="B122" s="10"/>
      <c r="C122" s="11"/>
      <c r="D122" s="10"/>
      <c r="E122" s="11"/>
      <c r="F122" s="11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  <c r="BQ122" s="15"/>
      <c r="BR122" s="15"/>
      <c r="BS122" s="12"/>
      <c r="BT122" s="12"/>
      <c r="BU122" s="12"/>
      <c r="BV122" s="12"/>
      <c r="BW122" s="12"/>
      <c r="BX122" s="12"/>
      <c r="BY122" s="12"/>
      <c r="BZ122" s="12"/>
      <c r="CA122" s="12"/>
      <c r="CB122" s="12"/>
      <c r="CC122" s="12"/>
      <c r="CD122" s="12"/>
      <c r="CE122" s="12"/>
      <c r="CF122" s="12"/>
      <c r="CG122" s="12"/>
      <c r="CH122" s="12"/>
      <c r="CI122" s="12"/>
      <c r="CJ122" s="12"/>
      <c r="CK122" s="12"/>
      <c r="CL122" s="12"/>
      <c r="CM122" s="15"/>
      <c r="CN122" s="15"/>
      <c r="CO122" s="15"/>
      <c r="CP122" s="15"/>
      <c r="CQ122" s="15"/>
      <c r="CR122" s="15"/>
      <c r="CS122" s="15"/>
      <c r="CT122" s="15"/>
      <c r="CU122" s="15"/>
      <c r="CV122" s="15"/>
      <c r="CW122" s="15"/>
      <c r="CX122" s="15"/>
      <c r="CY122" s="15"/>
      <c r="CZ122" s="15"/>
      <c r="DA122" s="15"/>
      <c r="DB122" s="15"/>
      <c r="DC122" s="15"/>
      <c r="DD122" s="15"/>
      <c r="DE122" s="15"/>
      <c r="DF122" s="15"/>
      <c r="DG122" s="14"/>
      <c r="DH122" s="14"/>
      <c r="DI122" s="14"/>
      <c r="DJ122" s="14"/>
      <c r="DK122" s="14"/>
      <c r="DL122" s="14"/>
      <c r="DM122" s="14"/>
      <c r="DN122" s="14"/>
      <c r="DO122" s="14"/>
      <c r="DP122" s="14"/>
      <c r="DQ122" s="14"/>
      <c r="DR122" s="14"/>
      <c r="DS122" s="14"/>
      <c r="DT122" s="14"/>
      <c r="DU122" s="14"/>
      <c r="DV122" s="14"/>
      <c r="DW122" s="14"/>
      <c r="DX122" s="14"/>
      <c r="DY122" s="14"/>
      <c r="DZ122" s="14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6"/>
      <c r="EV122" s="16"/>
      <c r="EW122" s="16"/>
      <c r="EX122" s="16"/>
      <c r="EY122" s="16"/>
      <c r="EZ122" s="16"/>
      <c r="FA122" s="16"/>
      <c r="FB122" s="16"/>
      <c r="FC122" s="16"/>
      <c r="FD122" s="16"/>
      <c r="FE122" s="16"/>
      <c r="FF122" s="16"/>
      <c r="FG122" s="16"/>
      <c r="FH122" s="16"/>
      <c r="FI122" s="16"/>
      <c r="FJ122" s="16"/>
      <c r="FK122" s="16"/>
      <c r="FL122" s="16"/>
      <c r="FM122" s="16"/>
      <c r="FN122" s="16"/>
      <c r="FO122" s="17"/>
      <c r="FP122" s="17"/>
      <c r="FQ122" s="17"/>
      <c r="FR122" s="17"/>
      <c r="FS122" s="17"/>
      <c r="FT122" s="17"/>
      <c r="FU122" s="17"/>
      <c r="FV122" s="17"/>
      <c r="FW122" s="17"/>
      <c r="FX122" s="17"/>
      <c r="FY122" s="17"/>
      <c r="FZ122" s="17"/>
      <c r="GA122" s="17"/>
      <c r="GB122" s="17"/>
      <c r="GC122" s="17"/>
      <c r="GD122" s="13"/>
      <c r="GE122" s="13"/>
      <c r="GF122" s="13"/>
      <c r="GG122" s="13"/>
      <c r="GH122" s="13"/>
      <c r="GI122" s="13"/>
      <c r="GJ122" s="13"/>
      <c r="GK122" s="13"/>
    </row>
    <row r="123" spans="1:193" ht="18" customHeight="1">
      <c r="A123" s="18" t="str">
        <f t="shared" si="3"/>
        <v/>
      </c>
      <c r="B123" s="19"/>
      <c r="C123" s="20"/>
      <c r="D123" s="19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  <c r="BJ123" s="20"/>
      <c r="BK123" s="20"/>
      <c r="BL123" s="20"/>
      <c r="BM123" s="20"/>
      <c r="BN123" s="20"/>
      <c r="BO123" s="20"/>
      <c r="BP123" s="20"/>
      <c r="BQ123" s="20"/>
      <c r="BR123" s="20"/>
      <c r="BS123" s="20"/>
      <c r="BT123" s="20"/>
      <c r="BU123" s="20"/>
      <c r="BV123" s="20"/>
      <c r="BW123" s="20"/>
      <c r="BX123" s="20"/>
      <c r="BY123" s="20"/>
      <c r="BZ123" s="20"/>
      <c r="CA123" s="20"/>
      <c r="CB123" s="20"/>
      <c r="CC123" s="20"/>
      <c r="CD123" s="20"/>
      <c r="CE123" s="20"/>
      <c r="CF123" s="20"/>
      <c r="CG123" s="20"/>
      <c r="CH123" s="20"/>
      <c r="CI123" s="20"/>
      <c r="CJ123" s="20"/>
      <c r="CK123" s="20"/>
      <c r="CL123" s="20"/>
      <c r="CM123" s="20"/>
      <c r="CN123" s="20"/>
      <c r="CO123" s="20"/>
      <c r="CP123" s="20"/>
      <c r="CQ123" s="20"/>
      <c r="CR123" s="20"/>
      <c r="CS123" s="20"/>
      <c r="CT123" s="20"/>
      <c r="CU123" s="20"/>
      <c r="CV123" s="20"/>
      <c r="CW123" s="20"/>
      <c r="CX123" s="20"/>
      <c r="CY123" s="20"/>
      <c r="CZ123" s="20"/>
      <c r="DA123" s="20"/>
      <c r="DB123" s="20"/>
      <c r="DC123" s="20"/>
      <c r="DD123" s="20"/>
      <c r="DE123" s="20"/>
      <c r="DF123" s="20"/>
      <c r="DG123" s="20"/>
      <c r="DH123" s="20"/>
      <c r="DI123" s="20"/>
      <c r="DJ123" s="20"/>
      <c r="DK123" s="20"/>
      <c r="DL123" s="20"/>
      <c r="DM123" s="20"/>
      <c r="DN123" s="20"/>
      <c r="DO123" s="20"/>
      <c r="DP123" s="20"/>
      <c r="DQ123" s="20"/>
      <c r="DR123" s="20"/>
      <c r="DS123" s="20"/>
      <c r="DT123" s="20"/>
      <c r="DU123" s="20"/>
      <c r="DV123" s="20"/>
      <c r="DW123" s="20"/>
      <c r="DX123" s="20"/>
      <c r="DY123" s="20"/>
      <c r="DZ123" s="20"/>
      <c r="EA123" s="20"/>
      <c r="EB123" s="20"/>
      <c r="EC123" s="20"/>
      <c r="ED123" s="20"/>
      <c r="EE123" s="20"/>
      <c r="EF123" s="20"/>
      <c r="EG123" s="20"/>
      <c r="EH123" s="20"/>
      <c r="EI123" s="20"/>
      <c r="EJ123" s="20"/>
      <c r="EK123" s="20"/>
      <c r="EL123" s="20"/>
      <c r="EM123" s="20"/>
      <c r="EN123" s="20"/>
      <c r="EO123" s="20"/>
      <c r="EP123" s="20"/>
      <c r="EQ123" s="20"/>
      <c r="ER123" s="20"/>
      <c r="ES123" s="20"/>
      <c r="ET123" s="20"/>
      <c r="EU123" s="20"/>
      <c r="EV123" s="20"/>
      <c r="EW123" s="20"/>
      <c r="EX123" s="20"/>
      <c r="EY123" s="20"/>
      <c r="EZ123" s="20"/>
      <c r="FA123" s="20"/>
      <c r="FB123" s="20"/>
      <c r="FC123" s="20"/>
      <c r="FD123" s="20"/>
      <c r="FE123" s="20"/>
      <c r="FF123" s="20"/>
      <c r="FG123" s="20"/>
      <c r="FH123" s="20"/>
      <c r="FI123" s="20"/>
      <c r="FJ123" s="20"/>
      <c r="FK123" s="20"/>
      <c r="FL123" s="20"/>
      <c r="FM123" s="20"/>
      <c r="FN123" s="20"/>
      <c r="FO123" s="20"/>
      <c r="FP123" s="20"/>
      <c r="FQ123" s="20"/>
      <c r="FR123" s="20"/>
      <c r="FS123" s="20"/>
      <c r="FT123" s="20"/>
      <c r="FU123" s="20"/>
      <c r="FV123" s="20"/>
      <c r="FW123" s="20"/>
      <c r="FX123" s="20"/>
      <c r="FY123" s="20"/>
      <c r="FZ123" s="20"/>
      <c r="GA123" s="20"/>
      <c r="GB123" s="20"/>
      <c r="GC123" s="20"/>
      <c r="GD123" s="20"/>
      <c r="GE123" s="20"/>
      <c r="GF123" s="20"/>
      <c r="GG123" s="20"/>
      <c r="GH123" s="20"/>
      <c r="GI123" s="20"/>
      <c r="GJ123" s="20"/>
      <c r="GK123" s="20"/>
    </row>
    <row r="124" spans="1:193" ht="18" customHeight="1">
      <c r="A124" s="9" t="str">
        <f t="shared" si="3"/>
        <v/>
      </c>
      <c r="B124" s="10"/>
      <c r="C124" s="11"/>
      <c r="D124" s="10"/>
      <c r="E124" s="11"/>
      <c r="F124" s="11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  <c r="BQ124" s="15"/>
      <c r="BR124" s="15"/>
      <c r="BS124" s="12"/>
      <c r="BT124" s="12"/>
      <c r="BU124" s="12"/>
      <c r="BV124" s="12"/>
      <c r="BW124" s="12"/>
      <c r="BX124" s="12"/>
      <c r="BY124" s="12"/>
      <c r="BZ124" s="12"/>
      <c r="CA124" s="12"/>
      <c r="CB124" s="12"/>
      <c r="CC124" s="12"/>
      <c r="CD124" s="12"/>
      <c r="CE124" s="12"/>
      <c r="CF124" s="12"/>
      <c r="CG124" s="12"/>
      <c r="CH124" s="12"/>
      <c r="CI124" s="12"/>
      <c r="CJ124" s="12"/>
      <c r="CK124" s="12"/>
      <c r="CL124" s="12"/>
      <c r="CM124" s="15"/>
      <c r="CN124" s="15"/>
      <c r="CO124" s="15"/>
      <c r="CP124" s="15"/>
      <c r="CQ124" s="15"/>
      <c r="CR124" s="15"/>
      <c r="CS124" s="15"/>
      <c r="CT124" s="15"/>
      <c r="CU124" s="15"/>
      <c r="CV124" s="15"/>
      <c r="CW124" s="15"/>
      <c r="CX124" s="15"/>
      <c r="CY124" s="15"/>
      <c r="CZ124" s="15"/>
      <c r="DA124" s="15"/>
      <c r="DB124" s="15"/>
      <c r="DC124" s="15"/>
      <c r="DD124" s="15"/>
      <c r="DE124" s="15"/>
      <c r="DF124" s="15"/>
      <c r="DG124" s="14"/>
      <c r="DH124" s="14"/>
      <c r="DI124" s="14"/>
      <c r="DJ124" s="14"/>
      <c r="DK124" s="14"/>
      <c r="DL124" s="14"/>
      <c r="DM124" s="14"/>
      <c r="DN124" s="14"/>
      <c r="DO124" s="14"/>
      <c r="DP124" s="14"/>
      <c r="DQ124" s="14"/>
      <c r="DR124" s="14"/>
      <c r="DS124" s="14"/>
      <c r="DT124" s="14"/>
      <c r="DU124" s="14"/>
      <c r="DV124" s="14"/>
      <c r="DW124" s="14"/>
      <c r="DX124" s="14"/>
      <c r="DY124" s="14"/>
      <c r="DZ124" s="14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6"/>
      <c r="EV124" s="16"/>
      <c r="EW124" s="16"/>
      <c r="EX124" s="16"/>
      <c r="EY124" s="16"/>
      <c r="EZ124" s="16"/>
      <c r="FA124" s="16"/>
      <c r="FB124" s="16"/>
      <c r="FC124" s="16"/>
      <c r="FD124" s="16"/>
      <c r="FE124" s="16"/>
      <c r="FF124" s="16"/>
      <c r="FG124" s="16"/>
      <c r="FH124" s="16"/>
      <c r="FI124" s="16"/>
      <c r="FJ124" s="16"/>
      <c r="FK124" s="16"/>
      <c r="FL124" s="16"/>
      <c r="FM124" s="16"/>
      <c r="FN124" s="16"/>
      <c r="FO124" s="17"/>
      <c r="FP124" s="17"/>
      <c r="FQ124" s="17"/>
      <c r="FR124" s="17"/>
      <c r="FS124" s="17"/>
      <c r="FT124" s="17"/>
      <c r="FU124" s="17"/>
      <c r="FV124" s="17"/>
      <c r="FW124" s="17"/>
      <c r="FX124" s="17"/>
      <c r="FY124" s="17"/>
      <c r="FZ124" s="17"/>
      <c r="GA124" s="17"/>
      <c r="GB124" s="17"/>
      <c r="GC124" s="17"/>
      <c r="GD124" s="13"/>
      <c r="GE124" s="13"/>
      <c r="GF124" s="13"/>
      <c r="GG124" s="13"/>
      <c r="GH124" s="13"/>
      <c r="GI124" s="13"/>
      <c r="GJ124" s="13"/>
      <c r="GK124" s="13"/>
    </row>
    <row r="125" spans="1:193" ht="18" customHeight="1">
      <c r="A125" s="18" t="str">
        <f t="shared" si="3"/>
        <v/>
      </c>
      <c r="B125" s="19"/>
      <c r="C125" s="20"/>
      <c r="D125" s="19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  <c r="BS125" s="20"/>
      <c r="BT125" s="20"/>
      <c r="BU125" s="20"/>
      <c r="BV125" s="20"/>
      <c r="BW125" s="20"/>
      <c r="BX125" s="20"/>
      <c r="BY125" s="20"/>
      <c r="BZ125" s="20"/>
      <c r="CA125" s="20"/>
      <c r="CB125" s="20"/>
      <c r="CC125" s="20"/>
      <c r="CD125" s="20"/>
      <c r="CE125" s="20"/>
      <c r="CF125" s="20"/>
      <c r="CG125" s="20"/>
      <c r="CH125" s="20"/>
      <c r="CI125" s="20"/>
      <c r="CJ125" s="20"/>
      <c r="CK125" s="20"/>
      <c r="CL125" s="20"/>
      <c r="CM125" s="20"/>
      <c r="CN125" s="20"/>
      <c r="CO125" s="20"/>
      <c r="CP125" s="20"/>
      <c r="CQ125" s="20"/>
      <c r="CR125" s="20"/>
      <c r="CS125" s="20"/>
      <c r="CT125" s="20"/>
      <c r="CU125" s="20"/>
      <c r="CV125" s="20"/>
      <c r="CW125" s="20"/>
      <c r="CX125" s="20"/>
      <c r="CY125" s="20"/>
      <c r="CZ125" s="20"/>
      <c r="DA125" s="20"/>
      <c r="DB125" s="20"/>
      <c r="DC125" s="20"/>
      <c r="DD125" s="20"/>
      <c r="DE125" s="20"/>
      <c r="DF125" s="20"/>
      <c r="DG125" s="20"/>
      <c r="DH125" s="20"/>
      <c r="DI125" s="20"/>
      <c r="DJ125" s="20"/>
      <c r="DK125" s="20"/>
      <c r="DL125" s="20"/>
      <c r="DM125" s="20"/>
      <c r="DN125" s="20"/>
      <c r="DO125" s="20"/>
      <c r="DP125" s="20"/>
      <c r="DQ125" s="20"/>
      <c r="DR125" s="20"/>
      <c r="DS125" s="20"/>
      <c r="DT125" s="20"/>
      <c r="DU125" s="20"/>
      <c r="DV125" s="20"/>
      <c r="DW125" s="20"/>
      <c r="DX125" s="20"/>
      <c r="DY125" s="20"/>
      <c r="DZ125" s="20"/>
      <c r="EA125" s="20"/>
      <c r="EB125" s="20"/>
      <c r="EC125" s="20"/>
      <c r="ED125" s="20"/>
      <c r="EE125" s="20"/>
      <c r="EF125" s="20"/>
      <c r="EG125" s="20"/>
      <c r="EH125" s="20"/>
      <c r="EI125" s="20"/>
      <c r="EJ125" s="20"/>
      <c r="EK125" s="20"/>
      <c r="EL125" s="20"/>
      <c r="EM125" s="20"/>
      <c r="EN125" s="20"/>
      <c r="EO125" s="20"/>
      <c r="EP125" s="20"/>
      <c r="EQ125" s="20"/>
      <c r="ER125" s="20"/>
      <c r="ES125" s="20"/>
      <c r="ET125" s="20"/>
      <c r="EU125" s="20"/>
      <c r="EV125" s="20"/>
      <c r="EW125" s="20"/>
      <c r="EX125" s="20"/>
      <c r="EY125" s="20"/>
      <c r="EZ125" s="20"/>
      <c r="FA125" s="20"/>
      <c r="FB125" s="20"/>
      <c r="FC125" s="20"/>
      <c r="FD125" s="20"/>
      <c r="FE125" s="20"/>
      <c r="FF125" s="20"/>
      <c r="FG125" s="20"/>
      <c r="FH125" s="20"/>
      <c r="FI125" s="20"/>
      <c r="FJ125" s="20"/>
      <c r="FK125" s="20"/>
      <c r="FL125" s="20"/>
      <c r="FM125" s="20"/>
      <c r="FN125" s="20"/>
      <c r="FO125" s="20"/>
      <c r="FP125" s="20"/>
      <c r="FQ125" s="20"/>
      <c r="FR125" s="20"/>
      <c r="FS125" s="20"/>
      <c r="FT125" s="20"/>
      <c r="FU125" s="20"/>
      <c r="FV125" s="20"/>
      <c r="FW125" s="20"/>
      <c r="FX125" s="20"/>
      <c r="FY125" s="20"/>
      <c r="FZ125" s="20"/>
      <c r="GA125" s="20"/>
      <c r="GB125" s="20"/>
      <c r="GC125" s="20"/>
      <c r="GD125" s="20"/>
      <c r="GE125" s="20"/>
      <c r="GF125" s="20"/>
      <c r="GG125" s="20"/>
      <c r="GH125" s="20"/>
      <c r="GI125" s="20"/>
      <c r="GJ125" s="20"/>
      <c r="GK125" s="20"/>
    </row>
    <row r="126" spans="1:193" ht="18" customHeight="1">
      <c r="A126" s="9" t="str">
        <f t="shared" si="3"/>
        <v/>
      </c>
      <c r="B126" s="10"/>
      <c r="C126" s="11"/>
      <c r="D126" s="10"/>
      <c r="E126" s="11"/>
      <c r="F126" s="11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  <c r="BQ126" s="15"/>
      <c r="BR126" s="15"/>
      <c r="BS126" s="12"/>
      <c r="BT126" s="12"/>
      <c r="BU126" s="12"/>
      <c r="BV126" s="12"/>
      <c r="BW126" s="12"/>
      <c r="BX126" s="12"/>
      <c r="BY126" s="12"/>
      <c r="BZ126" s="12"/>
      <c r="CA126" s="12"/>
      <c r="CB126" s="12"/>
      <c r="CC126" s="12"/>
      <c r="CD126" s="12"/>
      <c r="CE126" s="12"/>
      <c r="CF126" s="12"/>
      <c r="CG126" s="12"/>
      <c r="CH126" s="12"/>
      <c r="CI126" s="12"/>
      <c r="CJ126" s="12"/>
      <c r="CK126" s="12"/>
      <c r="CL126" s="12"/>
      <c r="CM126" s="15"/>
      <c r="CN126" s="15"/>
      <c r="CO126" s="15"/>
      <c r="CP126" s="15"/>
      <c r="CQ126" s="15"/>
      <c r="CR126" s="15"/>
      <c r="CS126" s="15"/>
      <c r="CT126" s="15"/>
      <c r="CU126" s="15"/>
      <c r="CV126" s="15"/>
      <c r="CW126" s="15"/>
      <c r="CX126" s="15"/>
      <c r="CY126" s="15"/>
      <c r="CZ126" s="15"/>
      <c r="DA126" s="15"/>
      <c r="DB126" s="15"/>
      <c r="DC126" s="15"/>
      <c r="DD126" s="15"/>
      <c r="DE126" s="15"/>
      <c r="DF126" s="15"/>
      <c r="DG126" s="14"/>
      <c r="DH126" s="14"/>
      <c r="DI126" s="14"/>
      <c r="DJ126" s="14"/>
      <c r="DK126" s="14"/>
      <c r="DL126" s="14"/>
      <c r="DM126" s="14"/>
      <c r="DN126" s="14"/>
      <c r="DO126" s="14"/>
      <c r="DP126" s="14"/>
      <c r="DQ126" s="14"/>
      <c r="DR126" s="14"/>
      <c r="DS126" s="14"/>
      <c r="DT126" s="14"/>
      <c r="DU126" s="14"/>
      <c r="DV126" s="14"/>
      <c r="DW126" s="14"/>
      <c r="DX126" s="14"/>
      <c r="DY126" s="14"/>
      <c r="DZ126" s="14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6"/>
      <c r="EV126" s="16"/>
      <c r="EW126" s="16"/>
      <c r="EX126" s="16"/>
      <c r="EY126" s="16"/>
      <c r="EZ126" s="16"/>
      <c r="FA126" s="16"/>
      <c r="FB126" s="16"/>
      <c r="FC126" s="16"/>
      <c r="FD126" s="16"/>
      <c r="FE126" s="16"/>
      <c r="FF126" s="16"/>
      <c r="FG126" s="16"/>
      <c r="FH126" s="16"/>
      <c r="FI126" s="16"/>
      <c r="FJ126" s="16"/>
      <c r="FK126" s="16"/>
      <c r="FL126" s="16"/>
      <c r="FM126" s="16"/>
      <c r="FN126" s="16"/>
      <c r="FO126" s="17"/>
      <c r="FP126" s="17"/>
      <c r="FQ126" s="17"/>
      <c r="FR126" s="17"/>
      <c r="FS126" s="17"/>
      <c r="FT126" s="17"/>
      <c r="FU126" s="17"/>
      <c r="FV126" s="17"/>
      <c r="FW126" s="17"/>
      <c r="FX126" s="17"/>
      <c r="FY126" s="17"/>
      <c r="FZ126" s="17"/>
      <c r="GA126" s="17"/>
      <c r="GB126" s="17"/>
      <c r="GC126" s="17"/>
      <c r="GD126" s="13"/>
      <c r="GE126" s="13"/>
      <c r="GF126" s="13"/>
      <c r="GG126" s="13"/>
      <c r="GH126" s="13"/>
      <c r="GI126" s="13"/>
      <c r="GJ126" s="13"/>
      <c r="GK126" s="13"/>
    </row>
    <row r="127" spans="1:193" ht="18" customHeight="1">
      <c r="A127" s="18" t="str">
        <f t="shared" si="3"/>
        <v/>
      </c>
      <c r="B127" s="19"/>
      <c r="C127" s="20"/>
      <c r="D127" s="19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  <c r="BO127" s="20"/>
      <c r="BP127" s="20"/>
      <c r="BQ127" s="20"/>
      <c r="BR127" s="20"/>
      <c r="BS127" s="20"/>
      <c r="BT127" s="20"/>
      <c r="BU127" s="20"/>
      <c r="BV127" s="20"/>
      <c r="BW127" s="20"/>
      <c r="BX127" s="20"/>
      <c r="BY127" s="20"/>
      <c r="BZ127" s="20"/>
      <c r="CA127" s="20"/>
      <c r="CB127" s="20"/>
      <c r="CC127" s="20"/>
      <c r="CD127" s="20"/>
      <c r="CE127" s="20"/>
      <c r="CF127" s="20"/>
      <c r="CG127" s="20"/>
      <c r="CH127" s="20"/>
      <c r="CI127" s="20"/>
      <c r="CJ127" s="20"/>
      <c r="CK127" s="20"/>
      <c r="CL127" s="20"/>
      <c r="CM127" s="20"/>
      <c r="CN127" s="20"/>
      <c r="CO127" s="20"/>
      <c r="CP127" s="20"/>
      <c r="CQ127" s="20"/>
      <c r="CR127" s="20"/>
      <c r="CS127" s="20"/>
      <c r="CT127" s="20"/>
      <c r="CU127" s="20"/>
      <c r="CV127" s="20"/>
      <c r="CW127" s="20"/>
      <c r="CX127" s="20"/>
      <c r="CY127" s="20"/>
      <c r="CZ127" s="20"/>
      <c r="DA127" s="20"/>
      <c r="DB127" s="20"/>
      <c r="DC127" s="20"/>
      <c r="DD127" s="20"/>
      <c r="DE127" s="20"/>
      <c r="DF127" s="20"/>
      <c r="DG127" s="20"/>
      <c r="DH127" s="20"/>
      <c r="DI127" s="20"/>
      <c r="DJ127" s="20"/>
      <c r="DK127" s="20"/>
      <c r="DL127" s="20"/>
      <c r="DM127" s="20"/>
      <c r="DN127" s="20"/>
      <c r="DO127" s="20"/>
      <c r="DP127" s="20"/>
      <c r="DQ127" s="20"/>
      <c r="DR127" s="20"/>
      <c r="DS127" s="20"/>
      <c r="DT127" s="20"/>
      <c r="DU127" s="20"/>
      <c r="DV127" s="20"/>
      <c r="DW127" s="20"/>
      <c r="DX127" s="20"/>
      <c r="DY127" s="20"/>
      <c r="DZ127" s="20"/>
      <c r="EA127" s="20"/>
      <c r="EB127" s="20"/>
      <c r="EC127" s="20"/>
      <c r="ED127" s="20"/>
      <c r="EE127" s="20"/>
      <c r="EF127" s="20"/>
      <c r="EG127" s="20"/>
      <c r="EH127" s="20"/>
      <c r="EI127" s="20"/>
      <c r="EJ127" s="20"/>
      <c r="EK127" s="20"/>
      <c r="EL127" s="20"/>
      <c r="EM127" s="20"/>
      <c r="EN127" s="20"/>
      <c r="EO127" s="20"/>
      <c r="EP127" s="20"/>
      <c r="EQ127" s="20"/>
      <c r="ER127" s="20"/>
      <c r="ES127" s="20"/>
      <c r="ET127" s="20"/>
      <c r="EU127" s="20"/>
      <c r="EV127" s="20"/>
      <c r="EW127" s="20"/>
      <c r="EX127" s="20"/>
      <c r="EY127" s="20"/>
      <c r="EZ127" s="20"/>
      <c r="FA127" s="20"/>
      <c r="FB127" s="20"/>
      <c r="FC127" s="20"/>
      <c r="FD127" s="20"/>
      <c r="FE127" s="20"/>
      <c r="FF127" s="20"/>
      <c r="FG127" s="20"/>
      <c r="FH127" s="20"/>
      <c r="FI127" s="20"/>
      <c r="FJ127" s="20"/>
      <c r="FK127" s="20"/>
      <c r="FL127" s="20"/>
      <c r="FM127" s="20"/>
      <c r="FN127" s="20"/>
      <c r="FO127" s="20"/>
      <c r="FP127" s="20"/>
      <c r="FQ127" s="20"/>
      <c r="FR127" s="20"/>
      <c r="FS127" s="20"/>
      <c r="FT127" s="20"/>
      <c r="FU127" s="20"/>
      <c r="FV127" s="20"/>
      <c r="FW127" s="20"/>
      <c r="FX127" s="20"/>
      <c r="FY127" s="20"/>
      <c r="FZ127" s="20"/>
      <c r="GA127" s="20"/>
      <c r="GB127" s="20"/>
      <c r="GC127" s="20"/>
      <c r="GD127" s="20"/>
      <c r="GE127" s="20"/>
      <c r="GF127" s="20"/>
      <c r="GG127" s="20"/>
      <c r="GH127" s="20"/>
      <c r="GI127" s="20"/>
      <c r="GJ127" s="20"/>
      <c r="GK127" s="20"/>
    </row>
    <row r="128" spans="1:193" ht="18" customHeight="1">
      <c r="A128" s="9" t="str">
        <f t="shared" si="3"/>
        <v/>
      </c>
      <c r="B128" s="10"/>
      <c r="C128" s="11"/>
      <c r="D128" s="10"/>
      <c r="E128" s="11"/>
      <c r="F128" s="11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  <c r="BQ128" s="15"/>
      <c r="BR128" s="15"/>
      <c r="BS128" s="12"/>
      <c r="BT128" s="12"/>
      <c r="BU128" s="12"/>
      <c r="BV128" s="12"/>
      <c r="BW128" s="12"/>
      <c r="BX128" s="12"/>
      <c r="BY128" s="12"/>
      <c r="BZ128" s="12"/>
      <c r="CA128" s="12"/>
      <c r="CB128" s="12"/>
      <c r="CC128" s="12"/>
      <c r="CD128" s="12"/>
      <c r="CE128" s="12"/>
      <c r="CF128" s="12"/>
      <c r="CG128" s="12"/>
      <c r="CH128" s="12"/>
      <c r="CI128" s="12"/>
      <c r="CJ128" s="12"/>
      <c r="CK128" s="12"/>
      <c r="CL128" s="12"/>
      <c r="CM128" s="15"/>
      <c r="CN128" s="15"/>
      <c r="CO128" s="15"/>
      <c r="CP128" s="15"/>
      <c r="CQ128" s="15"/>
      <c r="CR128" s="15"/>
      <c r="CS128" s="15"/>
      <c r="CT128" s="15"/>
      <c r="CU128" s="15"/>
      <c r="CV128" s="15"/>
      <c r="CW128" s="15"/>
      <c r="CX128" s="15"/>
      <c r="CY128" s="15"/>
      <c r="CZ128" s="15"/>
      <c r="DA128" s="15"/>
      <c r="DB128" s="15"/>
      <c r="DC128" s="15"/>
      <c r="DD128" s="15"/>
      <c r="DE128" s="15"/>
      <c r="DF128" s="15"/>
      <c r="DG128" s="14"/>
      <c r="DH128" s="14"/>
      <c r="DI128" s="14"/>
      <c r="DJ128" s="14"/>
      <c r="DK128" s="14"/>
      <c r="DL128" s="14"/>
      <c r="DM128" s="14"/>
      <c r="DN128" s="14"/>
      <c r="DO128" s="14"/>
      <c r="DP128" s="14"/>
      <c r="DQ128" s="14"/>
      <c r="DR128" s="14"/>
      <c r="DS128" s="14"/>
      <c r="DT128" s="14"/>
      <c r="DU128" s="14"/>
      <c r="DV128" s="14"/>
      <c r="DW128" s="14"/>
      <c r="DX128" s="14"/>
      <c r="DY128" s="14"/>
      <c r="DZ128" s="14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6"/>
      <c r="EV128" s="16"/>
      <c r="EW128" s="16"/>
      <c r="EX128" s="16"/>
      <c r="EY128" s="16"/>
      <c r="EZ128" s="16"/>
      <c r="FA128" s="16"/>
      <c r="FB128" s="16"/>
      <c r="FC128" s="16"/>
      <c r="FD128" s="16"/>
      <c r="FE128" s="16"/>
      <c r="FF128" s="16"/>
      <c r="FG128" s="16"/>
      <c r="FH128" s="16"/>
      <c r="FI128" s="16"/>
      <c r="FJ128" s="16"/>
      <c r="FK128" s="16"/>
      <c r="FL128" s="16"/>
      <c r="FM128" s="16"/>
      <c r="FN128" s="16"/>
      <c r="FO128" s="17"/>
      <c r="FP128" s="17"/>
      <c r="FQ128" s="17"/>
      <c r="FR128" s="17"/>
      <c r="FS128" s="17"/>
      <c r="FT128" s="17"/>
      <c r="FU128" s="17"/>
      <c r="FV128" s="17"/>
      <c r="FW128" s="17"/>
      <c r="FX128" s="17"/>
      <c r="FY128" s="17"/>
      <c r="FZ128" s="17"/>
      <c r="GA128" s="17"/>
      <c r="GB128" s="17"/>
      <c r="GC128" s="17"/>
      <c r="GD128" s="13"/>
      <c r="GE128" s="13"/>
      <c r="GF128" s="13"/>
      <c r="GG128" s="13"/>
      <c r="GH128" s="13"/>
      <c r="GI128" s="13"/>
      <c r="GJ128" s="13"/>
      <c r="GK128" s="13"/>
    </row>
    <row r="129" spans="1:193" ht="18" customHeight="1">
      <c r="A129" s="18" t="str">
        <f t="shared" si="3"/>
        <v/>
      </c>
      <c r="B129" s="19"/>
      <c r="C129" s="20"/>
      <c r="D129" s="19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/>
      <c r="BQ129" s="20"/>
      <c r="BR129" s="20"/>
      <c r="BS129" s="20"/>
      <c r="BT129" s="20"/>
      <c r="BU129" s="20"/>
      <c r="BV129" s="20"/>
      <c r="BW129" s="20"/>
      <c r="BX129" s="20"/>
      <c r="BY129" s="20"/>
      <c r="BZ129" s="20"/>
      <c r="CA129" s="20"/>
      <c r="CB129" s="20"/>
      <c r="CC129" s="20"/>
      <c r="CD129" s="20"/>
      <c r="CE129" s="20"/>
      <c r="CF129" s="20"/>
      <c r="CG129" s="20"/>
      <c r="CH129" s="20"/>
      <c r="CI129" s="20"/>
      <c r="CJ129" s="20"/>
      <c r="CK129" s="20"/>
      <c r="CL129" s="20"/>
      <c r="CM129" s="20"/>
      <c r="CN129" s="20"/>
      <c r="CO129" s="20"/>
      <c r="CP129" s="20"/>
      <c r="CQ129" s="20"/>
      <c r="CR129" s="20"/>
      <c r="CS129" s="20"/>
      <c r="CT129" s="20"/>
      <c r="CU129" s="20"/>
      <c r="CV129" s="20"/>
      <c r="CW129" s="20"/>
      <c r="CX129" s="20"/>
      <c r="CY129" s="20"/>
      <c r="CZ129" s="20"/>
      <c r="DA129" s="20"/>
      <c r="DB129" s="20"/>
      <c r="DC129" s="20"/>
      <c r="DD129" s="20"/>
      <c r="DE129" s="20"/>
      <c r="DF129" s="20"/>
      <c r="DG129" s="20"/>
      <c r="DH129" s="20"/>
      <c r="DI129" s="20"/>
      <c r="DJ129" s="20"/>
      <c r="DK129" s="20"/>
      <c r="DL129" s="20"/>
      <c r="DM129" s="20"/>
      <c r="DN129" s="20"/>
      <c r="DO129" s="20"/>
      <c r="DP129" s="20"/>
      <c r="DQ129" s="20"/>
      <c r="DR129" s="20"/>
      <c r="DS129" s="20"/>
      <c r="DT129" s="20"/>
      <c r="DU129" s="20"/>
      <c r="DV129" s="20"/>
      <c r="DW129" s="20"/>
      <c r="DX129" s="20"/>
      <c r="DY129" s="20"/>
      <c r="DZ129" s="20"/>
      <c r="EA129" s="20"/>
      <c r="EB129" s="20"/>
      <c r="EC129" s="20"/>
      <c r="ED129" s="20"/>
      <c r="EE129" s="20"/>
      <c r="EF129" s="20"/>
      <c r="EG129" s="20"/>
      <c r="EH129" s="20"/>
      <c r="EI129" s="20"/>
      <c r="EJ129" s="20"/>
      <c r="EK129" s="20"/>
      <c r="EL129" s="20"/>
      <c r="EM129" s="20"/>
      <c r="EN129" s="20"/>
      <c r="EO129" s="20"/>
      <c r="EP129" s="20"/>
      <c r="EQ129" s="20"/>
      <c r="ER129" s="20"/>
      <c r="ES129" s="20"/>
      <c r="ET129" s="20"/>
      <c r="EU129" s="20"/>
      <c r="EV129" s="20"/>
      <c r="EW129" s="20"/>
      <c r="EX129" s="20"/>
      <c r="EY129" s="20"/>
      <c r="EZ129" s="20"/>
      <c r="FA129" s="20"/>
      <c r="FB129" s="20"/>
      <c r="FC129" s="20"/>
      <c r="FD129" s="20"/>
      <c r="FE129" s="20"/>
      <c r="FF129" s="20"/>
      <c r="FG129" s="20"/>
      <c r="FH129" s="20"/>
      <c r="FI129" s="20"/>
      <c r="FJ129" s="20"/>
      <c r="FK129" s="20"/>
      <c r="FL129" s="20"/>
      <c r="FM129" s="20"/>
      <c r="FN129" s="20"/>
      <c r="FO129" s="20"/>
      <c r="FP129" s="20"/>
      <c r="FQ129" s="20"/>
      <c r="FR129" s="20"/>
      <c r="FS129" s="20"/>
      <c r="FT129" s="20"/>
      <c r="FU129" s="20"/>
      <c r="FV129" s="20"/>
      <c r="FW129" s="20"/>
      <c r="FX129" s="20"/>
      <c r="FY129" s="20"/>
      <c r="FZ129" s="20"/>
      <c r="GA129" s="20"/>
      <c r="GB129" s="20"/>
      <c r="GC129" s="20"/>
      <c r="GD129" s="20"/>
      <c r="GE129" s="20"/>
      <c r="GF129" s="20"/>
      <c r="GG129" s="20"/>
      <c r="GH129" s="20"/>
      <c r="GI129" s="20"/>
      <c r="GJ129" s="20"/>
      <c r="GK129" s="20"/>
    </row>
    <row r="130" spans="1:193" ht="18" customHeight="1">
      <c r="A130" s="9" t="str">
        <f t="shared" si="3"/>
        <v/>
      </c>
      <c r="B130" s="10"/>
      <c r="C130" s="11"/>
      <c r="D130" s="10"/>
      <c r="E130" s="11"/>
      <c r="F130" s="11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5"/>
      <c r="BP130" s="15"/>
      <c r="BQ130" s="15"/>
      <c r="BR130" s="15"/>
      <c r="BS130" s="12"/>
      <c r="BT130" s="12"/>
      <c r="BU130" s="12"/>
      <c r="BV130" s="12"/>
      <c r="BW130" s="12"/>
      <c r="BX130" s="12"/>
      <c r="BY130" s="12"/>
      <c r="BZ130" s="12"/>
      <c r="CA130" s="12"/>
      <c r="CB130" s="12"/>
      <c r="CC130" s="12"/>
      <c r="CD130" s="12"/>
      <c r="CE130" s="12"/>
      <c r="CF130" s="12"/>
      <c r="CG130" s="12"/>
      <c r="CH130" s="12"/>
      <c r="CI130" s="12"/>
      <c r="CJ130" s="12"/>
      <c r="CK130" s="12"/>
      <c r="CL130" s="12"/>
      <c r="CM130" s="15"/>
      <c r="CN130" s="15"/>
      <c r="CO130" s="15"/>
      <c r="CP130" s="15"/>
      <c r="CQ130" s="15"/>
      <c r="CR130" s="15"/>
      <c r="CS130" s="15"/>
      <c r="CT130" s="15"/>
      <c r="CU130" s="15"/>
      <c r="CV130" s="15"/>
      <c r="CW130" s="15"/>
      <c r="CX130" s="15"/>
      <c r="CY130" s="15"/>
      <c r="CZ130" s="15"/>
      <c r="DA130" s="15"/>
      <c r="DB130" s="15"/>
      <c r="DC130" s="15"/>
      <c r="DD130" s="15"/>
      <c r="DE130" s="15"/>
      <c r="DF130" s="15"/>
      <c r="DG130" s="14"/>
      <c r="DH130" s="14"/>
      <c r="DI130" s="14"/>
      <c r="DJ130" s="14"/>
      <c r="DK130" s="14"/>
      <c r="DL130" s="14"/>
      <c r="DM130" s="14"/>
      <c r="DN130" s="14"/>
      <c r="DO130" s="14"/>
      <c r="DP130" s="14"/>
      <c r="DQ130" s="14"/>
      <c r="DR130" s="14"/>
      <c r="DS130" s="14"/>
      <c r="DT130" s="14"/>
      <c r="DU130" s="14"/>
      <c r="DV130" s="14"/>
      <c r="DW130" s="14"/>
      <c r="DX130" s="14"/>
      <c r="DY130" s="14"/>
      <c r="DZ130" s="14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6"/>
      <c r="EV130" s="16"/>
      <c r="EW130" s="16"/>
      <c r="EX130" s="16"/>
      <c r="EY130" s="16"/>
      <c r="EZ130" s="16"/>
      <c r="FA130" s="16"/>
      <c r="FB130" s="16"/>
      <c r="FC130" s="16"/>
      <c r="FD130" s="16"/>
      <c r="FE130" s="16"/>
      <c r="FF130" s="16"/>
      <c r="FG130" s="16"/>
      <c r="FH130" s="16"/>
      <c r="FI130" s="16"/>
      <c r="FJ130" s="16"/>
      <c r="FK130" s="16"/>
      <c r="FL130" s="16"/>
      <c r="FM130" s="16"/>
      <c r="FN130" s="16"/>
      <c r="FO130" s="17"/>
      <c r="FP130" s="17"/>
      <c r="FQ130" s="17"/>
      <c r="FR130" s="17"/>
      <c r="FS130" s="17"/>
      <c r="FT130" s="17"/>
      <c r="FU130" s="17"/>
      <c r="FV130" s="17"/>
      <c r="FW130" s="17"/>
      <c r="FX130" s="17"/>
      <c r="FY130" s="17"/>
      <c r="FZ130" s="17"/>
      <c r="GA130" s="17"/>
      <c r="GB130" s="17"/>
      <c r="GC130" s="17"/>
      <c r="GD130" s="13"/>
      <c r="GE130" s="13"/>
      <c r="GF130" s="13"/>
      <c r="GG130" s="13"/>
      <c r="GH130" s="13"/>
      <c r="GI130" s="13"/>
      <c r="GJ130" s="13"/>
      <c r="GK130" s="13"/>
    </row>
    <row r="131" spans="1:193" ht="18" customHeight="1">
      <c r="A131" s="18" t="str">
        <f t="shared" si="3"/>
        <v/>
      </c>
      <c r="B131" s="19"/>
      <c r="C131" s="20"/>
      <c r="D131" s="19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/>
      <c r="BQ131" s="20"/>
      <c r="BR131" s="20"/>
      <c r="BS131" s="20"/>
      <c r="BT131" s="20"/>
      <c r="BU131" s="20"/>
      <c r="BV131" s="20"/>
      <c r="BW131" s="20"/>
      <c r="BX131" s="20"/>
      <c r="BY131" s="20"/>
      <c r="BZ131" s="20"/>
      <c r="CA131" s="20"/>
      <c r="CB131" s="20"/>
      <c r="CC131" s="20"/>
      <c r="CD131" s="20"/>
      <c r="CE131" s="20"/>
      <c r="CF131" s="20"/>
      <c r="CG131" s="20"/>
      <c r="CH131" s="20"/>
      <c r="CI131" s="20"/>
      <c r="CJ131" s="20"/>
      <c r="CK131" s="20"/>
      <c r="CL131" s="20"/>
      <c r="CM131" s="20"/>
      <c r="CN131" s="20"/>
      <c r="CO131" s="20"/>
      <c r="CP131" s="20"/>
      <c r="CQ131" s="20"/>
      <c r="CR131" s="20"/>
      <c r="CS131" s="20"/>
      <c r="CT131" s="20"/>
      <c r="CU131" s="20"/>
      <c r="CV131" s="20"/>
      <c r="CW131" s="20"/>
      <c r="CX131" s="20"/>
      <c r="CY131" s="20"/>
      <c r="CZ131" s="20"/>
      <c r="DA131" s="20"/>
      <c r="DB131" s="20"/>
      <c r="DC131" s="20"/>
      <c r="DD131" s="20"/>
      <c r="DE131" s="20"/>
      <c r="DF131" s="20"/>
      <c r="DG131" s="20"/>
      <c r="DH131" s="20"/>
      <c r="DI131" s="20"/>
      <c r="DJ131" s="20"/>
      <c r="DK131" s="20"/>
      <c r="DL131" s="20"/>
      <c r="DM131" s="20"/>
      <c r="DN131" s="20"/>
      <c r="DO131" s="20"/>
      <c r="DP131" s="20"/>
      <c r="DQ131" s="20"/>
      <c r="DR131" s="20"/>
      <c r="DS131" s="20"/>
      <c r="DT131" s="20"/>
      <c r="DU131" s="20"/>
      <c r="DV131" s="20"/>
      <c r="DW131" s="20"/>
      <c r="DX131" s="20"/>
      <c r="DY131" s="20"/>
      <c r="DZ131" s="20"/>
      <c r="EA131" s="20"/>
      <c r="EB131" s="20"/>
      <c r="EC131" s="20"/>
      <c r="ED131" s="20"/>
      <c r="EE131" s="20"/>
      <c r="EF131" s="20"/>
      <c r="EG131" s="20"/>
      <c r="EH131" s="20"/>
      <c r="EI131" s="20"/>
      <c r="EJ131" s="20"/>
      <c r="EK131" s="20"/>
      <c r="EL131" s="20"/>
      <c r="EM131" s="20"/>
      <c r="EN131" s="20"/>
      <c r="EO131" s="20"/>
      <c r="EP131" s="20"/>
      <c r="EQ131" s="20"/>
      <c r="ER131" s="20"/>
      <c r="ES131" s="20"/>
      <c r="ET131" s="20"/>
      <c r="EU131" s="20"/>
      <c r="EV131" s="20"/>
      <c r="EW131" s="20"/>
      <c r="EX131" s="20"/>
      <c r="EY131" s="20"/>
      <c r="EZ131" s="20"/>
      <c r="FA131" s="20"/>
      <c r="FB131" s="20"/>
      <c r="FC131" s="20"/>
      <c r="FD131" s="20"/>
      <c r="FE131" s="20"/>
      <c r="FF131" s="20"/>
      <c r="FG131" s="20"/>
      <c r="FH131" s="20"/>
      <c r="FI131" s="20"/>
      <c r="FJ131" s="20"/>
      <c r="FK131" s="20"/>
      <c r="FL131" s="20"/>
      <c r="FM131" s="20"/>
      <c r="FN131" s="20"/>
      <c r="FO131" s="20"/>
      <c r="FP131" s="20"/>
      <c r="FQ131" s="20"/>
      <c r="FR131" s="20"/>
      <c r="FS131" s="20"/>
      <c r="FT131" s="20"/>
      <c r="FU131" s="20"/>
      <c r="FV131" s="20"/>
      <c r="FW131" s="20"/>
      <c r="FX131" s="20"/>
      <c r="FY131" s="20"/>
      <c r="FZ131" s="20"/>
      <c r="GA131" s="20"/>
      <c r="GB131" s="20"/>
      <c r="GC131" s="20"/>
      <c r="GD131" s="20"/>
      <c r="GE131" s="20"/>
      <c r="GF131" s="20"/>
      <c r="GG131" s="20"/>
      <c r="GH131" s="20"/>
      <c r="GI131" s="20"/>
      <c r="GJ131" s="20"/>
      <c r="GK131" s="20"/>
    </row>
    <row r="132" spans="1:193" ht="18" customHeight="1">
      <c r="A132" s="9" t="str">
        <f t="shared" si="3"/>
        <v/>
      </c>
      <c r="B132" s="10"/>
      <c r="C132" s="11"/>
      <c r="D132" s="10"/>
      <c r="E132" s="11"/>
      <c r="F132" s="11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15"/>
      <c r="BO132" s="15"/>
      <c r="BP132" s="15"/>
      <c r="BQ132" s="15"/>
      <c r="BR132" s="15"/>
      <c r="BS132" s="12"/>
      <c r="BT132" s="12"/>
      <c r="BU132" s="12"/>
      <c r="BV132" s="12"/>
      <c r="BW132" s="12"/>
      <c r="BX132" s="12"/>
      <c r="BY132" s="12"/>
      <c r="BZ132" s="12"/>
      <c r="CA132" s="12"/>
      <c r="CB132" s="12"/>
      <c r="CC132" s="12"/>
      <c r="CD132" s="12"/>
      <c r="CE132" s="12"/>
      <c r="CF132" s="12"/>
      <c r="CG132" s="12"/>
      <c r="CH132" s="12"/>
      <c r="CI132" s="12"/>
      <c r="CJ132" s="12"/>
      <c r="CK132" s="12"/>
      <c r="CL132" s="12"/>
      <c r="CM132" s="15"/>
      <c r="CN132" s="15"/>
      <c r="CO132" s="15"/>
      <c r="CP132" s="15"/>
      <c r="CQ132" s="15"/>
      <c r="CR132" s="15"/>
      <c r="CS132" s="15"/>
      <c r="CT132" s="15"/>
      <c r="CU132" s="15"/>
      <c r="CV132" s="15"/>
      <c r="CW132" s="15"/>
      <c r="CX132" s="15"/>
      <c r="CY132" s="15"/>
      <c r="CZ132" s="15"/>
      <c r="DA132" s="15"/>
      <c r="DB132" s="15"/>
      <c r="DC132" s="15"/>
      <c r="DD132" s="15"/>
      <c r="DE132" s="15"/>
      <c r="DF132" s="15"/>
      <c r="DG132" s="14"/>
      <c r="DH132" s="14"/>
      <c r="DI132" s="14"/>
      <c r="DJ132" s="14"/>
      <c r="DK132" s="14"/>
      <c r="DL132" s="14"/>
      <c r="DM132" s="14"/>
      <c r="DN132" s="14"/>
      <c r="DO132" s="14"/>
      <c r="DP132" s="14"/>
      <c r="DQ132" s="14"/>
      <c r="DR132" s="14"/>
      <c r="DS132" s="14"/>
      <c r="DT132" s="14"/>
      <c r="DU132" s="14"/>
      <c r="DV132" s="14"/>
      <c r="DW132" s="14"/>
      <c r="DX132" s="14"/>
      <c r="DY132" s="14"/>
      <c r="DZ132" s="14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6"/>
      <c r="EV132" s="16"/>
      <c r="EW132" s="16"/>
      <c r="EX132" s="16"/>
      <c r="EY132" s="16"/>
      <c r="EZ132" s="16"/>
      <c r="FA132" s="16"/>
      <c r="FB132" s="16"/>
      <c r="FC132" s="16"/>
      <c r="FD132" s="16"/>
      <c r="FE132" s="16"/>
      <c r="FF132" s="16"/>
      <c r="FG132" s="16"/>
      <c r="FH132" s="16"/>
      <c r="FI132" s="16"/>
      <c r="FJ132" s="16"/>
      <c r="FK132" s="16"/>
      <c r="FL132" s="16"/>
      <c r="FM132" s="16"/>
      <c r="FN132" s="16"/>
      <c r="FO132" s="17"/>
      <c r="FP132" s="17"/>
      <c r="FQ132" s="17"/>
      <c r="FR132" s="17"/>
      <c r="FS132" s="17"/>
      <c r="FT132" s="17"/>
      <c r="FU132" s="17"/>
      <c r="FV132" s="17"/>
      <c r="FW132" s="17"/>
      <c r="FX132" s="17"/>
      <c r="FY132" s="17"/>
      <c r="FZ132" s="17"/>
      <c r="GA132" s="17"/>
      <c r="GB132" s="17"/>
      <c r="GC132" s="17"/>
      <c r="GD132" s="13"/>
      <c r="GE132" s="13"/>
      <c r="GF132" s="13"/>
      <c r="GG132" s="13"/>
      <c r="GH132" s="13"/>
      <c r="GI132" s="13"/>
      <c r="GJ132" s="13"/>
      <c r="GK132" s="13"/>
    </row>
    <row r="133" spans="1:193" ht="18" customHeight="1">
      <c r="A133" s="18" t="str">
        <f t="shared" si="3"/>
        <v/>
      </c>
      <c r="B133" s="19"/>
      <c r="C133" s="20"/>
      <c r="D133" s="19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  <c r="BO133" s="20"/>
      <c r="BP133" s="20"/>
      <c r="BQ133" s="20"/>
      <c r="BR133" s="20"/>
      <c r="BS133" s="20"/>
      <c r="BT133" s="20"/>
      <c r="BU133" s="20"/>
      <c r="BV133" s="20"/>
      <c r="BW133" s="20"/>
      <c r="BX133" s="20"/>
      <c r="BY133" s="20"/>
      <c r="BZ133" s="20"/>
      <c r="CA133" s="20"/>
      <c r="CB133" s="20"/>
      <c r="CC133" s="20"/>
      <c r="CD133" s="20"/>
      <c r="CE133" s="20"/>
      <c r="CF133" s="20"/>
      <c r="CG133" s="20"/>
      <c r="CH133" s="20"/>
      <c r="CI133" s="20"/>
      <c r="CJ133" s="20"/>
      <c r="CK133" s="20"/>
      <c r="CL133" s="20"/>
      <c r="CM133" s="20"/>
      <c r="CN133" s="20"/>
      <c r="CO133" s="20"/>
      <c r="CP133" s="20"/>
      <c r="CQ133" s="20"/>
      <c r="CR133" s="20"/>
      <c r="CS133" s="20"/>
      <c r="CT133" s="20"/>
      <c r="CU133" s="20"/>
      <c r="CV133" s="20"/>
      <c r="CW133" s="20"/>
      <c r="CX133" s="20"/>
      <c r="CY133" s="20"/>
      <c r="CZ133" s="20"/>
      <c r="DA133" s="20"/>
      <c r="DB133" s="20"/>
      <c r="DC133" s="20"/>
      <c r="DD133" s="20"/>
      <c r="DE133" s="20"/>
      <c r="DF133" s="20"/>
      <c r="DG133" s="20"/>
      <c r="DH133" s="20"/>
      <c r="DI133" s="20"/>
      <c r="DJ133" s="20"/>
      <c r="DK133" s="20"/>
      <c r="DL133" s="20"/>
      <c r="DM133" s="20"/>
      <c r="DN133" s="20"/>
      <c r="DO133" s="20"/>
      <c r="DP133" s="20"/>
      <c r="DQ133" s="20"/>
      <c r="DR133" s="20"/>
      <c r="DS133" s="20"/>
      <c r="DT133" s="20"/>
      <c r="DU133" s="20"/>
      <c r="DV133" s="20"/>
      <c r="DW133" s="20"/>
      <c r="DX133" s="20"/>
      <c r="DY133" s="20"/>
      <c r="DZ133" s="20"/>
      <c r="EA133" s="20"/>
      <c r="EB133" s="20"/>
      <c r="EC133" s="20"/>
      <c r="ED133" s="20"/>
      <c r="EE133" s="20"/>
      <c r="EF133" s="20"/>
      <c r="EG133" s="20"/>
      <c r="EH133" s="20"/>
      <c r="EI133" s="20"/>
      <c r="EJ133" s="20"/>
      <c r="EK133" s="20"/>
      <c r="EL133" s="20"/>
      <c r="EM133" s="20"/>
      <c r="EN133" s="20"/>
      <c r="EO133" s="20"/>
      <c r="EP133" s="20"/>
      <c r="EQ133" s="20"/>
      <c r="ER133" s="20"/>
      <c r="ES133" s="20"/>
      <c r="ET133" s="20"/>
      <c r="EU133" s="20"/>
      <c r="EV133" s="20"/>
      <c r="EW133" s="20"/>
      <c r="EX133" s="20"/>
      <c r="EY133" s="20"/>
      <c r="EZ133" s="20"/>
      <c r="FA133" s="20"/>
      <c r="FB133" s="20"/>
      <c r="FC133" s="20"/>
      <c r="FD133" s="20"/>
      <c r="FE133" s="20"/>
      <c r="FF133" s="20"/>
      <c r="FG133" s="20"/>
      <c r="FH133" s="20"/>
      <c r="FI133" s="20"/>
      <c r="FJ133" s="20"/>
      <c r="FK133" s="20"/>
      <c r="FL133" s="20"/>
      <c r="FM133" s="20"/>
      <c r="FN133" s="20"/>
      <c r="FO133" s="20"/>
      <c r="FP133" s="20"/>
      <c r="FQ133" s="20"/>
      <c r="FR133" s="20"/>
      <c r="FS133" s="20"/>
      <c r="FT133" s="20"/>
      <c r="FU133" s="20"/>
      <c r="FV133" s="20"/>
      <c r="FW133" s="20"/>
      <c r="FX133" s="20"/>
      <c r="FY133" s="20"/>
      <c r="FZ133" s="20"/>
      <c r="GA133" s="20"/>
      <c r="GB133" s="20"/>
      <c r="GC133" s="20"/>
      <c r="GD133" s="20"/>
      <c r="GE133" s="20"/>
      <c r="GF133" s="20"/>
      <c r="GG133" s="20"/>
      <c r="GH133" s="20"/>
      <c r="GI133" s="20"/>
      <c r="GJ133" s="20"/>
      <c r="GK133" s="20"/>
    </row>
    <row r="134" spans="1:193" ht="18" customHeight="1">
      <c r="A134" s="9" t="str">
        <f t="shared" ref="A134:A165" si="4">IF(B134&lt;&gt;"","OBS-"&amp;TEXT(ROW()-5,"000"),"")</f>
        <v/>
      </c>
      <c r="B134" s="10"/>
      <c r="C134" s="11"/>
      <c r="D134" s="10"/>
      <c r="E134" s="11"/>
      <c r="F134" s="11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15"/>
      <c r="BP134" s="15"/>
      <c r="BQ134" s="15"/>
      <c r="BR134" s="15"/>
      <c r="BS134" s="12"/>
      <c r="BT134" s="12"/>
      <c r="BU134" s="12"/>
      <c r="BV134" s="12"/>
      <c r="BW134" s="12"/>
      <c r="BX134" s="12"/>
      <c r="BY134" s="12"/>
      <c r="BZ134" s="12"/>
      <c r="CA134" s="12"/>
      <c r="CB134" s="12"/>
      <c r="CC134" s="12"/>
      <c r="CD134" s="12"/>
      <c r="CE134" s="12"/>
      <c r="CF134" s="12"/>
      <c r="CG134" s="12"/>
      <c r="CH134" s="12"/>
      <c r="CI134" s="12"/>
      <c r="CJ134" s="12"/>
      <c r="CK134" s="12"/>
      <c r="CL134" s="12"/>
      <c r="CM134" s="15"/>
      <c r="CN134" s="15"/>
      <c r="CO134" s="15"/>
      <c r="CP134" s="15"/>
      <c r="CQ134" s="15"/>
      <c r="CR134" s="15"/>
      <c r="CS134" s="15"/>
      <c r="CT134" s="15"/>
      <c r="CU134" s="15"/>
      <c r="CV134" s="15"/>
      <c r="CW134" s="15"/>
      <c r="CX134" s="15"/>
      <c r="CY134" s="15"/>
      <c r="CZ134" s="15"/>
      <c r="DA134" s="15"/>
      <c r="DB134" s="15"/>
      <c r="DC134" s="15"/>
      <c r="DD134" s="15"/>
      <c r="DE134" s="15"/>
      <c r="DF134" s="15"/>
      <c r="DG134" s="14"/>
      <c r="DH134" s="14"/>
      <c r="DI134" s="14"/>
      <c r="DJ134" s="14"/>
      <c r="DK134" s="14"/>
      <c r="DL134" s="14"/>
      <c r="DM134" s="14"/>
      <c r="DN134" s="14"/>
      <c r="DO134" s="14"/>
      <c r="DP134" s="14"/>
      <c r="DQ134" s="14"/>
      <c r="DR134" s="14"/>
      <c r="DS134" s="14"/>
      <c r="DT134" s="14"/>
      <c r="DU134" s="14"/>
      <c r="DV134" s="14"/>
      <c r="DW134" s="14"/>
      <c r="DX134" s="14"/>
      <c r="DY134" s="14"/>
      <c r="DZ134" s="14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6"/>
      <c r="EV134" s="16"/>
      <c r="EW134" s="16"/>
      <c r="EX134" s="16"/>
      <c r="EY134" s="16"/>
      <c r="EZ134" s="16"/>
      <c r="FA134" s="16"/>
      <c r="FB134" s="16"/>
      <c r="FC134" s="16"/>
      <c r="FD134" s="16"/>
      <c r="FE134" s="16"/>
      <c r="FF134" s="16"/>
      <c r="FG134" s="16"/>
      <c r="FH134" s="16"/>
      <c r="FI134" s="16"/>
      <c r="FJ134" s="16"/>
      <c r="FK134" s="16"/>
      <c r="FL134" s="16"/>
      <c r="FM134" s="16"/>
      <c r="FN134" s="16"/>
      <c r="FO134" s="17"/>
      <c r="FP134" s="17"/>
      <c r="FQ134" s="17"/>
      <c r="FR134" s="17"/>
      <c r="FS134" s="17"/>
      <c r="FT134" s="17"/>
      <c r="FU134" s="17"/>
      <c r="FV134" s="17"/>
      <c r="FW134" s="17"/>
      <c r="FX134" s="17"/>
      <c r="FY134" s="17"/>
      <c r="FZ134" s="17"/>
      <c r="GA134" s="17"/>
      <c r="GB134" s="17"/>
      <c r="GC134" s="17"/>
      <c r="GD134" s="13"/>
      <c r="GE134" s="13"/>
      <c r="GF134" s="13"/>
      <c r="GG134" s="13"/>
      <c r="GH134" s="13"/>
      <c r="GI134" s="13"/>
      <c r="GJ134" s="13"/>
      <c r="GK134" s="13"/>
    </row>
    <row r="135" spans="1:193" ht="18" customHeight="1">
      <c r="A135" s="18" t="str">
        <f t="shared" si="4"/>
        <v/>
      </c>
      <c r="B135" s="19"/>
      <c r="C135" s="20"/>
      <c r="D135" s="19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20"/>
      <c r="BU135" s="20"/>
      <c r="BV135" s="20"/>
      <c r="BW135" s="20"/>
      <c r="BX135" s="20"/>
      <c r="BY135" s="20"/>
      <c r="BZ135" s="20"/>
      <c r="CA135" s="20"/>
      <c r="CB135" s="20"/>
      <c r="CC135" s="20"/>
      <c r="CD135" s="20"/>
      <c r="CE135" s="20"/>
      <c r="CF135" s="20"/>
      <c r="CG135" s="20"/>
      <c r="CH135" s="20"/>
      <c r="CI135" s="20"/>
      <c r="CJ135" s="20"/>
      <c r="CK135" s="20"/>
      <c r="CL135" s="20"/>
      <c r="CM135" s="20"/>
      <c r="CN135" s="20"/>
      <c r="CO135" s="20"/>
      <c r="CP135" s="20"/>
      <c r="CQ135" s="20"/>
      <c r="CR135" s="20"/>
      <c r="CS135" s="20"/>
      <c r="CT135" s="20"/>
      <c r="CU135" s="20"/>
      <c r="CV135" s="20"/>
      <c r="CW135" s="20"/>
      <c r="CX135" s="20"/>
      <c r="CY135" s="20"/>
      <c r="CZ135" s="20"/>
      <c r="DA135" s="20"/>
      <c r="DB135" s="20"/>
      <c r="DC135" s="20"/>
      <c r="DD135" s="20"/>
      <c r="DE135" s="20"/>
      <c r="DF135" s="20"/>
      <c r="DG135" s="20"/>
      <c r="DH135" s="20"/>
      <c r="DI135" s="20"/>
      <c r="DJ135" s="20"/>
      <c r="DK135" s="20"/>
      <c r="DL135" s="20"/>
      <c r="DM135" s="20"/>
      <c r="DN135" s="20"/>
      <c r="DO135" s="20"/>
      <c r="DP135" s="20"/>
      <c r="DQ135" s="20"/>
      <c r="DR135" s="20"/>
      <c r="DS135" s="20"/>
      <c r="DT135" s="20"/>
      <c r="DU135" s="20"/>
      <c r="DV135" s="20"/>
      <c r="DW135" s="20"/>
      <c r="DX135" s="20"/>
      <c r="DY135" s="20"/>
      <c r="DZ135" s="20"/>
      <c r="EA135" s="20"/>
      <c r="EB135" s="20"/>
      <c r="EC135" s="20"/>
      <c r="ED135" s="20"/>
      <c r="EE135" s="20"/>
      <c r="EF135" s="20"/>
      <c r="EG135" s="20"/>
      <c r="EH135" s="20"/>
      <c r="EI135" s="20"/>
      <c r="EJ135" s="20"/>
      <c r="EK135" s="20"/>
      <c r="EL135" s="20"/>
      <c r="EM135" s="20"/>
      <c r="EN135" s="20"/>
      <c r="EO135" s="20"/>
      <c r="EP135" s="20"/>
      <c r="EQ135" s="20"/>
      <c r="ER135" s="20"/>
      <c r="ES135" s="20"/>
      <c r="ET135" s="20"/>
      <c r="EU135" s="20"/>
      <c r="EV135" s="20"/>
      <c r="EW135" s="20"/>
      <c r="EX135" s="20"/>
      <c r="EY135" s="20"/>
      <c r="EZ135" s="20"/>
      <c r="FA135" s="20"/>
      <c r="FB135" s="20"/>
      <c r="FC135" s="20"/>
      <c r="FD135" s="20"/>
      <c r="FE135" s="20"/>
      <c r="FF135" s="20"/>
      <c r="FG135" s="20"/>
      <c r="FH135" s="20"/>
      <c r="FI135" s="20"/>
      <c r="FJ135" s="20"/>
      <c r="FK135" s="20"/>
      <c r="FL135" s="20"/>
      <c r="FM135" s="20"/>
      <c r="FN135" s="20"/>
      <c r="FO135" s="20"/>
      <c r="FP135" s="20"/>
      <c r="FQ135" s="20"/>
      <c r="FR135" s="20"/>
      <c r="FS135" s="20"/>
      <c r="FT135" s="20"/>
      <c r="FU135" s="20"/>
      <c r="FV135" s="20"/>
      <c r="FW135" s="20"/>
      <c r="FX135" s="20"/>
      <c r="FY135" s="20"/>
      <c r="FZ135" s="20"/>
      <c r="GA135" s="20"/>
      <c r="GB135" s="20"/>
      <c r="GC135" s="20"/>
      <c r="GD135" s="20"/>
      <c r="GE135" s="20"/>
      <c r="GF135" s="20"/>
      <c r="GG135" s="20"/>
      <c r="GH135" s="20"/>
      <c r="GI135" s="20"/>
      <c r="GJ135" s="20"/>
      <c r="GK135" s="20"/>
    </row>
    <row r="136" spans="1:193" ht="18" customHeight="1">
      <c r="A136" s="9" t="str">
        <f t="shared" si="4"/>
        <v/>
      </c>
      <c r="B136" s="10"/>
      <c r="C136" s="11"/>
      <c r="D136" s="10"/>
      <c r="E136" s="11"/>
      <c r="F136" s="11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  <c r="BM136" s="15"/>
      <c r="BN136" s="15"/>
      <c r="BO136" s="15"/>
      <c r="BP136" s="15"/>
      <c r="BQ136" s="15"/>
      <c r="BR136" s="15"/>
      <c r="BS136" s="12"/>
      <c r="BT136" s="12"/>
      <c r="BU136" s="12"/>
      <c r="BV136" s="12"/>
      <c r="BW136" s="12"/>
      <c r="BX136" s="12"/>
      <c r="BY136" s="12"/>
      <c r="BZ136" s="12"/>
      <c r="CA136" s="12"/>
      <c r="CB136" s="12"/>
      <c r="CC136" s="12"/>
      <c r="CD136" s="12"/>
      <c r="CE136" s="12"/>
      <c r="CF136" s="12"/>
      <c r="CG136" s="12"/>
      <c r="CH136" s="12"/>
      <c r="CI136" s="12"/>
      <c r="CJ136" s="12"/>
      <c r="CK136" s="12"/>
      <c r="CL136" s="12"/>
      <c r="CM136" s="15"/>
      <c r="CN136" s="15"/>
      <c r="CO136" s="15"/>
      <c r="CP136" s="15"/>
      <c r="CQ136" s="15"/>
      <c r="CR136" s="15"/>
      <c r="CS136" s="15"/>
      <c r="CT136" s="15"/>
      <c r="CU136" s="15"/>
      <c r="CV136" s="15"/>
      <c r="CW136" s="15"/>
      <c r="CX136" s="15"/>
      <c r="CY136" s="15"/>
      <c r="CZ136" s="15"/>
      <c r="DA136" s="15"/>
      <c r="DB136" s="15"/>
      <c r="DC136" s="15"/>
      <c r="DD136" s="15"/>
      <c r="DE136" s="15"/>
      <c r="DF136" s="15"/>
      <c r="DG136" s="14"/>
      <c r="DH136" s="14"/>
      <c r="DI136" s="14"/>
      <c r="DJ136" s="14"/>
      <c r="DK136" s="14"/>
      <c r="DL136" s="14"/>
      <c r="DM136" s="14"/>
      <c r="DN136" s="14"/>
      <c r="DO136" s="14"/>
      <c r="DP136" s="14"/>
      <c r="DQ136" s="14"/>
      <c r="DR136" s="14"/>
      <c r="DS136" s="14"/>
      <c r="DT136" s="14"/>
      <c r="DU136" s="14"/>
      <c r="DV136" s="14"/>
      <c r="DW136" s="14"/>
      <c r="DX136" s="14"/>
      <c r="DY136" s="14"/>
      <c r="DZ136" s="14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6"/>
      <c r="EV136" s="16"/>
      <c r="EW136" s="16"/>
      <c r="EX136" s="16"/>
      <c r="EY136" s="16"/>
      <c r="EZ136" s="16"/>
      <c r="FA136" s="16"/>
      <c r="FB136" s="16"/>
      <c r="FC136" s="16"/>
      <c r="FD136" s="16"/>
      <c r="FE136" s="16"/>
      <c r="FF136" s="16"/>
      <c r="FG136" s="16"/>
      <c r="FH136" s="16"/>
      <c r="FI136" s="16"/>
      <c r="FJ136" s="16"/>
      <c r="FK136" s="16"/>
      <c r="FL136" s="16"/>
      <c r="FM136" s="16"/>
      <c r="FN136" s="16"/>
      <c r="FO136" s="17"/>
      <c r="FP136" s="17"/>
      <c r="FQ136" s="17"/>
      <c r="FR136" s="17"/>
      <c r="FS136" s="17"/>
      <c r="FT136" s="17"/>
      <c r="FU136" s="17"/>
      <c r="FV136" s="17"/>
      <c r="FW136" s="17"/>
      <c r="FX136" s="17"/>
      <c r="FY136" s="17"/>
      <c r="FZ136" s="17"/>
      <c r="GA136" s="17"/>
      <c r="GB136" s="17"/>
      <c r="GC136" s="17"/>
      <c r="GD136" s="13"/>
      <c r="GE136" s="13"/>
      <c r="GF136" s="13"/>
      <c r="GG136" s="13"/>
      <c r="GH136" s="13"/>
      <c r="GI136" s="13"/>
      <c r="GJ136" s="13"/>
      <c r="GK136" s="13"/>
    </row>
    <row r="137" spans="1:193" ht="18" customHeight="1">
      <c r="A137" s="18" t="str">
        <f t="shared" si="4"/>
        <v/>
      </c>
      <c r="B137" s="19"/>
      <c r="C137" s="20"/>
      <c r="D137" s="19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/>
      <c r="BS137" s="20"/>
      <c r="BT137" s="20"/>
      <c r="BU137" s="20"/>
      <c r="BV137" s="20"/>
      <c r="BW137" s="20"/>
      <c r="BX137" s="20"/>
      <c r="BY137" s="20"/>
      <c r="BZ137" s="20"/>
      <c r="CA137" s="20"/>
      <c r="CB137" s="20"/>
      <c r="CC137" s="20"/>
      <c r="CD137" s="20"/>
      <c r="CE137" s="20"/>
      <c r="CF137" s="20"/>
      <c r="CG137" s="20"/>
      <c r="CH137" s="20"/>
      <c r="CI137" s="20"/>
      <c r="CJ137" s="20"/>
      <c r="CK137" s="20"/>
      <c r="CL137" s="20"/>
      <c r="CM137" s="20"/>
      <c r="CN137" s="20"/>
      <c r="CO137" s="20"/>
      <c r="CP137" s="20"/>
      <c r="CQ137" s="20"/>
      <c r="CR137" s="20"/>
      <c r="CS137" s="20"/>
      <c r="CT137" s="20"/>
      <c r="CU137" s="20"/>
      <c r="CV137" s="20"/>
      <c r="CW137" s="20"/>
      <c r="CX137" s="20"/>
      <c r="CY137" s="20"/>
      <c r="CZ137" s="20"/>
      <c r="DA137" s="20"/>
      <c r="DB137" s="20"/>
      <c r="DC137" s="20"/>
      <c r="DD137" s="20"/>
      <c r="DE137" s="20"/>
      <c r="DF137" s="20"/>
      <c r="DG137" s="20"/>
      <c r="DH137" s="20"/>
      <c r="DI137" s="20"/>
      <c r="DJ137" s="20"/>
      <c r="DK137" s="20"/>
      <c r="DL137" s="20"/>
      <c r="DM137" s="20"/>
      <c r="DN137" s="20"/>
      <c r="DO137" s="20"/>
      <c r="DP137" s="20"/>
      <c r="DQ137" s="20"/>
      <c r="DR137" s="20"/>
      <c r="DS137" s="20"/>
      <c r="DT137" s="20"/>
      <c r="DU137" s="20"/>
      <c r="DV137" s="20"/>
      <c r="DW137" s="20"/>
      <c r="DX137" s="20"/>
      <c r="DY137" s="20"/>
      <c r="DZ137" s="20"/>
      <c r="EA137" s="20"/>
      <c r="EB137" s="20"/>
      <c r="EC137" s="20"/>
      <c r="ED137" s="20"/>
      <c r="EE137" s="20"/>
      <c r="EF137" s="20"/>
      <c r="EG137" s="20"/>
      <c r="EH137" s="20"/>
      <c r="EI137" s="20"/>
      <c r="EJ137" s="20"/>
      <c r="EK137" s="20"/>
      <c r="EL137" s="20"/>
      <c r="EM137" s="20"/>
      <c r="EN137" s="20"/>
      <c r="EO137" s="20"/>
      <c r="EP137" s="20"/>
      <c r="EQ137" s="20"/>
      <c r="ER137" s="20"/>
      <c r="ES137" s="20"/>
      <c r="ET137" s="20"/>
      <c r="EU137" s="20"/>
      <c r="EV137" s="20"/>
      <c r="EW137" s="20"/>
      <c r="EX137" s="20"/>
      <c r="EY137" s="20"/>
      <c r="EZ137" s="20"/>
      <c r="FA137" s="20"/>
      <c r="FB137" s="20"/>
      <c r="FC137" s="20"/>
      <c r="FD137" s="20"/>
      <c r="FE137" s="20"/>
      <c r="FF137" s="20"/>
      <c r="FG137" s="20"/>
      <c r="FH137" s="20"/>
      <c r="FI137" s="20"/>
      <c r="FJ137" s="20"/>
      <c r="FK137" s="20"/>
      <c r="FL137" s="20"/>
      <c r="FM137" s="20"/>
      <c r="FN137" s="20"/>
      <c r="FO137" s="20"/>
      <c r="FP137" s="20"/>
      <c r="FQ137" s="20"/>
      <c r="FR137" s="20"/>
      <c r="FS137" s="20"/>
      <c r="FT137" s="20"/>
      <c r="FU137" s="20"/>
      <c r="FV137" s="20"/>
      <c r="FW137" s="20"/>
      <c r="FX137" s="20"/>
      <c r="FY137" s="20"/>
      <c r="FZ137" s="20"/>
      <c r="GA137" s="20"/>
      <c r="GB137" s="20"/>
      <c r="GC137" s="20"/>
      <c r="GD137" s="20"/>
      <c r="GE137" s="20"/>
      <c r="GF137" s="20"/>
      <c r="GG137" s="20"/>
      <c r="GH137" s="20"/>
      <c r="GI137" s="20"/>
      <c r="GJ137" s="20"/>
      <c r="GK137" s="20"/>
    </row>
    <row r="138" spans="1:193" ht="18" customHeight="1">
      <c r="A138" s="9" t="str">
        <f t="shared" si="4"/>
        <v/>
      </c>
      <c r="B138" s="10"/>
      <c r="C138" s="11"/>
      <c r="D138" s="10"/>
      <c r="E138" s="11"/>
      <c r="F138" s="11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5"/>
      <c r="BP138" s="15"/>
      <c r="BQ138" s="15"/>
      <c r="BR138" s="15"/>
      <c r="BS138" s="12"/>
      <c r="BT138" s="12"/>
      <c r="BU138" s="12"/>
      <c r="BV138" s="12"/>
      <c r="BW138" s="12"/>
      <c r="BX138" s="12"/>
      <c r="BY138" s="12"/>
      <c r="BZ138" s="12"/>
      <c r="CA138" s="12"/>
      <c r="CB138" s="12"/>
      <c r="CC138" s="12"/>
      <c r="CD138" s="12"/>
      <c r="CE138" s="12"/>
      <c r="CF138" s="12"/>
      <c r="CG138" s="12"/>
      <c r="CH138" s="12"/>
      <c r="CI138" s="12"/>
      <c r="CJ138" s="12"/>
      <c r="CK138" s="12"/>
      <c r="CL138" s="12"/>
      <c r="CM138" s="15"/>
      <c r="CN138" s="15"/>
      <c r="CO138" s="15"/>
      <c r="CP138" s="15"/>
      <c r="CQ138" s="15"/>
      <c r="CR138" s="15"/>
      <c r="CS138" s="15"/>
      <c r="CT138" s="15"/>
      <c r="CU138" s="15"/>
      <c r="CV138" s="15"/>
      <c r="CW138" s="15"/>
      <c r="CX138" s="15"/>
      <c r="CY138" s="15"/>
      <c r="CZ138" s="15"/>
      <c r="DA138" s="15"/>
      <c r="DB138" s="15"/>
      <c r="DC138" s="15"/>
      <c r="DD138" s="15"/>
      <c r="DE138" s="15"/>
      <c r="DF138" s="15"/>
      <c r="DG138" s="14"/>
      <c r="DH138" s="14"/>
      <c r="DI138" s="14"/>
      <c r="DJ138" s="14"/>
      <c r="DK138" s="14"/>
      <c r="DL138" s="14"/>
      <c r="DM138" s="14"/>
      <c r="DN138" s="14"/>
      <c r="DO138" s="14"/>
      <c r="DP138" s="14"/>
      <c r="DQ138" s="14"/>
      <c r="DR138" s="14"/>
      <c r="DS138" s="14"/>
      <c r="DT138" s="14"/>
      <c r="DU138" s="14"/>
      <c r="DV138" s="14"/>
      <c r="DW138" s="14"/>
      <c r="DX138" s="14"/>
      <c r="DY138" s="14"/>
      <c r="DZ138" s="14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6"/>
      <c r="EV138" s="16"/>
      <c r="EW138" s="16"/>
      <c r="EX138" s="16"/>
      <c r="EY138" s="16"/>
      <c r="EZ138" s="16"/>
      <c r="FA138" s="16"/>
      <c r="FB138" s="16"/>
      <c r="FC138" s="16"/>
      <c r="FD138" s="16"/>
      <c r="FE138" s="16"/>
      <c r="FF138" s="16"/>
      <c r="FG138" s="16"/>
      <c r="FH138" s="16"/>
      <c r="FI138" s="16"/>
      <c r="FJ138" s="16"/>
      <c r="FK138" s="16"/>
      <c r="FL138" s="16"/>
      <c r="FM138" s="16"/>
      <c r="FN138" s="16"/>
      <c r="FO138" s="17"/>
      <c r="FP138" s="17"/>
      <c r="FQ138" s="17"/>
      <c r="FR138" s="17"/>
      <c r="FS138" s="17"/>
      <c r="FT138" s="17"/>
      <c r="FU138" s="17"/>
      <c r="FV138" s="17"/>
      <c r="FW138" s="17"/>
      <c r="FX138" s="17"/>
      <c r="FY138" s="17"/>
      <c r="FZ138" s="17"/>
      <c r="GA138" s="17"/>
      <c r="GB138" s="17"/>
      <c r="GC138" s="17"/>
      <c r="GD138" s="13"/>
      <c r="GE138" s="13"/>
      <c r="GF138" s="13"/>
      <c r="GG138" s="13"/>
      <c r="GH138" s="13"/>
      <c r="GI138" s="13"/>
      <c r="GJ138" s="13"/>
      <c r="GK138" s="13"/>
    </row>
    <row r="139" spans="1:193" ht="18" customHeight="1">
      <c r="A139" s="18" t="str">
        <f t="shared" si="4"/>
        <v/>
      </c>
      <c r="B139" s="19"/>
      <c r="C139" s="20"/>
      <c r="D139" s="19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/>
      <c r="BS139" s="20"/>
      <c r="BT139" s="20"/>
      <c r="BU139" s="20"/>
      <c r="BV139" s="20"/>
      <c r="BW139" s="20"/>
      <c r="BX139" s="20"/>
      <c r="BY139" s="20"/>
      <c r="BZ139" s="20"/>
      <c r="CA139" s="20"/>
      <c r="CB139" s="20"/>
      <c r="CC139" s="20"/>
      <c r="CD139" s="20"/>
      <c r="CE139" s="20"/>
      <c r="CF139" s="20"/>
      <c r="CG139" s="20"/>
      <c r="CH139" s="20"/>
      <c r="CI139" s="20"/>
      <c r="CJ139" s="20"/>
      <c r="CK139" s="20"/>
      <c r="CL139" s="20"/>
      <c r="CM139" s="20"/>
      <c r="CN139" s="20"/>
      <c r="CO139" s="20"/>
      <c r="CP139" s="20"/>
      <c r="CQ139" s="20"/>
      <c r="CR139" s="20"/>
      <c r="CS139" s="20"/>
      <c r="CT139" s="20"/>
      <c r="CU139" s="20"/>
      <c r="CV139" s="20"/>
      <c r="CW139" s="20"/>
      <c r="CX139" s="20"/>
      <c r="CY139" s="20"/>
      <c r="CZ139" s="20"/>
      <c r="DA139" s="20"/>
      <c r="DB139" s="20"/>
      <c r="DC139" s="20"/>
      <c r="DD139" s="20"/>
      <c r="DE139" s="20"/>
      <c r="DF139" s="20"/>
      <c r="DG139" s="20"/>
      <c r="DH139" s="20"/>
      <c r="DI139" s="20"/>
      <c r="DJ139" s="20"/>
      <c r="DK139" s="20"/>
      <c r="DL139" s="20"/>
      <c r="DM139" s="20"/>
      <c r="DN139" s="20"/>
      <c r="DO139" s="20"/>
      <c r="DP139" s="20"/>
      <c r="DQ139" s="20"/>
      <c r="DR139" s="20"/>
      <c r="DS139" s="20"/>
      <c r="DT139" s="20"/>
      <c r="DU139" s="20"/>
      <c r="DV139" s="20"/>
      <c r="DW139" s="20"/>
      <c r="DX139" s="20"/>
      <c r="DY139" s="20"/>
      <c r="DZ139" s="20"/>
      <c r="EA139" s="20"/>
      <c r="EB139" s="20"/>
      <c r="EC139" s="20"/>
      <c r="ED139" s="20"/>
      <c r="EE139" s="20"/>
      <c r="EF139" s="20"/>
      <c r="EG139" s="20"/>
      <c r="EH139" s="20"/>
      <c r="EI139" s="20"/>
      <c r="EJ139" s="20"/>
      <c r="EK139" s="20"/>
      <c r="EL139" s="20"/>
      <c r="EM139" s="20"/>
      <c r="EN139" s="20"/>
      <c r="EO139" s="20"/>
      <c r="EP139" s="20"/>
      <c r="EQ139" s="20"/>
      <c r="ER139" s="20"/>
      <c r="ES139" s="20"/>
      <c r="ET139" s="20"/>
      <c r="EU139" s="20"/>
      <c r="EV139" s="20"/>
      <c r="EW139" s="20"/>
      <c r="EX139" s="20"/>
      <c r="EY139" s="20"/>
      <c r="EZ139" s="20"/>
      <c r="FA139" s="20"/>
      <c r="FB139" s="20"/>
      <c r="FC139" s="20"/>
      <c r="FD139" s="20"/>
      <c r="FE139" s="20"/>
      <c r="FF139" s="20"/>
      <c r="FG139" s="20"/>
      <c r="FH139" s="20"/>
      <c r="FI139" s="20"/>
      <c r="FJ139" s="20"/>
      <c r="FK139" s="20"/>
      <c r="FL139" s="20"/>
      <c r="FM139" s="20"/>
      <c r="FN139" s="20"/>
      <c r="FO139" s="20"/>
      <c r="FP139" s="20"/>
      <c r="FQ139" s="20"/>
      <c r="FR139" s="20"/>
      <c r="FS139" s="20"/>
      <c r="FT139" s="20"/>
      <c r="FU139" s="20"/>
      <c r="FV139" s="20"/>
      <c r="FW139" s="20"/>
      <c r="FX139" s="20"/>
      <c r="FY139" s="20"/>
      <c r="FZ139" s="20"/>
      <c r="GA139" s="20"/>
      <c r="GB139" s="20"/>
      <c r="GC139" s="20"/>
      <c r="GD139" s="20"/>
      <c r="GE139" s="20"/>
      <c r="GF139" s="20"/>
      <c r="GG139" s="20"/>
      <c r="GH139" s="20"/>
      <c r="GI139" s="20"/>
      <c r="GJ139" s="20"/>
      <c r="GK139" s="20"/>
    </row>
    <row r="140" spans="1:193" ht="18" customHeight="1">
      <c r="A140" s="9" t="str">
        <f t="shared" si="4"/>
        <v/>
      </c>
      <c r="B140" s="10"/>
      <c r="C140" s="11"/>
      <c r="D140" s="10"/>
      <c r="E140" s="11"/>
      <c r="F140" s="11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  <c r="BM140" s="15"/>
      <c r="BN140" s="15"/>
      <c r="BO140" s="15"/>
      <c r="BP140" s="15"/>
      <c r="BQ140" s="15"/>
      <c r="BR140" s="15"/>
      <c r="BS140" s="12"/>
      <c r="BT140" s="12"/>
      <c r="BU140" s="12"/>
      <c r="BV140" s="12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5"/>
      <c r="CN140" s="15"/>
      <c r="CO140" s="15"/>
      <c r="CP140" s="15"/>
      <c r="CQ140" s="15"/>
      <c r="CR140" s="15"/>
      <c r="CS140" s="15"/>
      <c r="CT140" s="15"/>
      <c r="CU140" s="15"/>
      <c r="CV140" s="15"/>
      <c r="CW140" s="15"/>
      <c r="CX140" s="15"/>
      <c r="CY140" s="15"/>
      <c r="CZ140" s="15"/>
      <c r="DA140" s="15"/>
      <c r="DB140" s="15"/>
      <c r="DC140" s="15"/>
      <c r="DD140" s="15"/>
      <c r="DE140" s="15"/>
      <c r="DF140" s="15"/>
      <c r="DG140" s="14"/>
      <c r="DH140" s="14"/>
      <c r="DI140" s="14"/>
      <c r="DJ140" s="14"/>
      <c r="DK140" s="14"/>
      <c r="DL140" s="14"/>
      <c r="DM140" s="14"/>
      <c r="DN140" s="14"/>
      <c r="DO140" s="14"/>
      <c r="DP140" s="14"/>
      <c r="DQ140" s="14"/>
      <c r="DR140" s="14"/>
      <c r="DS140" s="14"/>
      <c r="DT140" s="14"/>
      <c r="DU140" s="14"/>
      <c r="DV140" s="14"/>
      <c r="DW140" s="14"/>
      <c r="DX140" s="14"/>
      <c r="DY140" s="14"/>
      <c r="DZ140" s="14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6"/>
      <c r="EV140" s="16"/>
      <c r="EW140" s="16"/>
      <c r="EX140" s="16"/>
      <c r="EY140" s="16"/>
      <c r="EZ140" s="16"/>
      <c r="FA140" s="16"/>
      <c r="FB140" s="16"/>
      <c r="FC140" s="16"/>
      <c r="FD140" s="16"/>
      <c r="FE140" s="16"/>
      <c r="FF140" s="16"/>
      <c r="FG140" s="16"/>
      <c r="FH140" s="16"/>
      <c r="FI140" s="16"/>
      <c r="FJ140" s="16"/>
      <c r="FK140" s="16"/>
      <c r="FL140" s="16"/>
      <c r="FM140" s="16"/>
      <c r="FN140" s="16"/>
      <c r="FO140" s="17"/>
      <c r="FP140" s="17"/>
      <c r="FQ140" s="17"/>
      <c r="FR140" s="17"/>
      <c r="FS140" s="17"/>
      <c r="FT140" s="17"/>
      <c r="FU140" s="17"/>
      <c r="FV140" s="17"/>
      <c r="FW140" s="17"/>
      <c r="FX140" s="17"/>
      <c r="FY140" s="17"/>
      <c r="FZ140" s="17"/>
      <c r="GA140" s="17"/>
      <c r="GB140" s="17"/>
      <c r="GC140" s="17"/>
      <c r="GD140" s="13"/>
      <c r="GE140" s="13"/>
      <c r="GF140" s="13"/>
      <c r="GG140" s="13"/>
      <c r="GH140" s="13"/>
      <c r="GI140" s="13"/>
      <c r="GJ140" s="13"/>
      <c r="GK140" s="13"/>
    </row>
    <row r="141" spans="1:193" ht="18" customHeight="1">
      <c r="A141" s="18" t="str">
        <f t="shared" si="4"/>
        <v/>
      </c>
      <c r="B141" s="19"/>
      <c r="C141" s="20"/>
      <c r="D141" s="19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20"/>
      <c r="BN141" s="20"/>
      <c r="BO141" s="20"/>
      <c r="BP141" s="20"/>
      <c r="BQ141" s="20"/>
      <c r="BR141" s="20"/>
      <c r="BS141" s="20"/>
      <c r="BT141" s="20"/>
      <c r="BU141" s="20"/>
      <c r="BV141" s="20"/>
      <c r="BW141" s="20"/>
      <c r="BX141" s="20"/>
      <c r="BY141" s="20"/>
      <c r="BZ141" s="20"/>
      <c r="CA141" s="20"/>
      <c r="CB141" s="20"/>
      <c r="CC141" s="20"/>
      <c r="CD141" s="20"/>
      <c r="CE141" s="20"/>
      <c r="CF141" s="20"/>
      <c r="CG141" s="20"/>
      <c r="CH141" s="20"/>
      <c r="CI141" s="20"/>
      <c r="CJ141" s="20"/>
      <c r="CK141" s="20"/>
      <c r="CL141" s="20"/>
      <c r="CM141" s="20"/>
      <c r="CN141" s="20"/>
      <c r="CO141" s="20"/>
      <c r="CP141" s="20"/>
      <c r="CQ141" s="20"/>
      <c r="CR141" s="20"/>
      <c r="CS141" s="20"/>
      <c r="CT141" s="20"/>
      <c r="CU141" s="20"/>
      <c r="CV141" s="20"/>
      <c r="CW141" s="20"/>
      <c r="CX141" s="20"/>
      <c r="CY141" s="20"/>
      <c r="CZ141" s="20"/>
      <c r="DA141" s="20"/>
      <c r="DB141" s="20"/>
      <c r="DC141" s="20"/>
      <c r="DD141" s="20"/>
      <c r="DE141" s="20"/>
      <c r="DF141" s="20"/>
      <c r="DG141" s="20"/>
      <c r="DH141" s="20"/>
      <c r="DI141" s="20"/>
      <c r="DJ141" s="20"/>
      <c r="DK141" s="20"/>
      <c r="DL141" s="20"/>
      <c r="DM141" s="20"/>
      <c r="DN141" s="20"/>
      <c r="DO141" s="20"/>
      <c r="DP141" s="20"/>
      <c r="DQ141" s="20"/>
      <c r="DR141" s="20"/>
      <c r="DS141" s="20"/>
      <c r="DT141" s="20"/>
      <c r="DU141" s="20"/>
      <c r="DV141" s="20"/>
      <c r="DW141" s="20"/>
      <c r="DX141" s="20"/>
      <c r="DY141" s="20"/>
      <c r="DZ141" s="20"/>
      <c r="EA141" s="20"/>
      <c r="EB141" s="20"/>
      <c r="EC141" s="20"/>
      <c r="ED141" s="20"/>
      <c r="EE141" s="20"/>
      <c r="EF141" s="20"/>
      <c r="EG141" s="20"/>
      <c r="EH141" s="20"/>
      <c r="EI141" s="20"/>
      <c r="EJ141" s="20"/>
      <c r="EK141" s="20"/>
      <c r="EL141" s="20"/>
      <c r="EM141" s="20"/>
      <c r="EN141" s="20"/>
      <c r="EO141" s="20"/>
      <c r="EP141" s="20"/>
      <c r="EQ141" s="20"/>
      <c r="ER141" s="20"/>
      <c r="ES141" s="20"/>
      <c r="ET141" s="20"/>
      <c r="EU141" s="20"/>
      <c r="EV141" s="20"/>
      <c r="EW141" s="20"/>
      <c r="EX141" s="20"/>
      <c r="EY141" s="20"/>
      <c r="EZ141" s="20"/>
      <c r="FA141" s="20"/>
      <c r="FB141" s="20"/>
      <c r="FC141" s="20"/>
      <c r="FD141" s="20"/>
      <c r="FE141" s="20"/>
      <c r="FF141" s="20"/>
      <c r="FG141" s="20"/>
      <c r="FH141" s="20"/>
      <c r="FI141" s="20"/>
      <c r="FJ141" s="20"/>
      <c r="FK141" s="20"/>
      <c r="FL141" s="20"/>
      <c r="FM141" s="20"/>
      <c r="FN141" s="20"/>
      <c r="FO141" s="20"/>
      <c r="FP141" s="20"/>
      <c r="FQ141" s="20"/>
      <c r="FR141" s="20"/>
      <c r="FS141" s="20"/>
      <c r="FT141" s="20"/>
      <c r="FU141" s="20"/>
      <c r="FV141" s="20"/>
      <c r="FW141" s="20"/>
      <c r="FX141" s="20"/>
      <c r="FY141" s="20"/>
      <c r="FZ141" s="20"/>
      <c r="GA141" s="20"/>
      <c r="GB141" s="20"/>
      <c r="GC141" s="20"/>
      <c r="GD141" s="20"/>
      <c r="GE141" s="20"/>
      <c r="GF141" s="20"/>
      <c r="GG141" s="20"/>
      <c r="GH141" s="20"/>
      <c r="GI141" s="20"/>
      <c r="GJ141" s="20"/>
      <c r="GK141" s="20"/>
    </row>
    <row r="142" spans="1:193" ht="18" customHeight="1">
      <c r="A142" s="9" t="str">
        <f t="shared" si="4"/>
        <v/>
      </c>
      <c r="B142" s="10"/>
      <c r="C142" s="11"/>
      <c r="D142" s="10"/>
      <c r="E142" s="11"/>
      <c r="F142" s="11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15"/>
      <c r="BO142" s="15"/>
      <c r="BP142" s="15"/>
      <c r="BQ142" s="15"/>
      <c r="BR142" s="15"/>
      <c r="BS142" s="12"/>
      <c r="BT142" s="12"/>
      <c r="BU142" s="12"/>
      <c r="BV142" s="12"/>
      <c r="BW142" s="12"/>
      <c r="BX142" s="12"/>
      <c r="BY142" s="12"/>
      <c r="BZ142" s="12"/>
      <c r="CA142" s="12"/>
      <c r="CB142" s="12"/>
      <c r="CC142" s="12"/>
      <c r="CD142" s="12"/>
      <c r="CE142" s="12"/>
      <c r="CF142" s="12"/>
      <c r="CG142" s="12"/>
      <c r="CH142" s="12"/>
      <c r="CI142" s="12"/>
      <c r="CJ142" s="12"/>
      <c r="CK142" s="12"/>
      <c r="CL142" s="12"/>
      <c r="CM142" s="15"/>
      <c r="CN142" s="15"/>
      <c r="CO142" s="15"/>
      <c r="CP142" s="15"/>
      <c r="CQ142" s="15"/>
      <c r="CR142" s="15"/>
      <c r="CS142" s="15"/>
      <c r="CT142" s="15"/>
      <c r="CU142" s="15"/>
      <c r="CV142" s="15"/>
      <c r="CW142" s="15"/>
      <c r="CX142" s="15"/>
      <c r="CY142" s="15"/>
      <c r="CZ142" s="15"/>
      <c r="DA142" s="15"/>
      <c r="DB142" s="15"/>
      <c r="DC142" s="15"/>
      <c r="DD142" s="15"/>
      <c r="DE142" s="15"/>
      <c r="DF142" s="15"/>
      <c r="DG142" s="14"/>
      <c r="DH142" s="14"/>
      <c r="DI142" s="14"/>
      <c r="DJ142" s="14"/>
      <c r="DK142" s="14"/>
      <c r="DL142" s="14"/>
      <c r="DM142" s="14"/>
      <c r="DN142" s="14"/>
      <c r="DO142" s="14"/>
      <c r="DP142" s="14"/>
      <c r="DQ142" s="14"/>
      <c r="DR142" s="14"/>
      <c r="DS142" s="14"/>
      <c r="DT142" s="14"/>
      <c r="DU142" s="14"/>
      <c r="DV142" s="14"/>
      <c r="DW142" s="14"/>
      <c r="DX142" s="14"/>
      <c r="DY142" s="14"/>
      <c r="DZ142" s="14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6"/>
      <c r="EV142" s="16"/>
      <c r="EW142" s="16"/>
      <c r="EX142" s="16"/>
      <c r="EY142" s="16"/>
      <c r="EZ142" s="16"/>
      <c r="FA142" s="16"/>
      <c r="FB142" s="16"/>
      <c r="FC142" s="16"/>
      <c r="FD142" s="16"/>
      <c r="FE142" s="16"/>
      <c r="FF142" s="16"/>
      <c r="FG142" s="16"/>
      <c r="FH142" s="16"/>
      <c r="FI142" s="16"/>
      <c r="FJ142" s="16"/>
      <c r="FK142" s="16"/>
      <c r="FL142" s="16"/>
      <c r="FM142" s="16"/>
      <c r="FN142" s="16"/>
      <c r="FO142" s="17"/>
      <c r="FP142" s="17"/>
      <c r="FQ142" s="17"/>
      <c r="FR142" s="17"/>
      <c r="FS142" s="17"/>
      <c r="FT142" s="17"/>
      <c r="FU142" s="17"/>
      <c r="FV142" s="17"/>
      <c r="FW142" s="17"/>
      <c r="FX142" s="17"/>
      <c r="FY142" s="17"/>
      <c r="FZ142" s="17"/>
      <c r="GA142" s="17"/>
      <c r="GB142" s="17"/>
      <c r="GC142" s="17"/>
      <c r="GD142" s="13"/>
      <c r="GE142" s="13"/>
      <c r="GF142" s="13"/>
      <c r="GG142" s="13"/>
      <c r="GH142" s="13"/>
      <c r="GI142" s="13"/>
      <c r="GJ142" s="13"/>
      <c r="GK142" s="13"/>
    </row>
    <row r="143" spans="1:193" ht="18" customHeight="1">
      <c r="A143" s="18" t="str">
        <f t="shared" si="4"/>
        <v/>
      </c>
      <c r="B143" s="19"/>
      <c r="C143" s="20"/>
      <c r="D143" s="19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  <c r="BJ143" s="20"/>
      <c r="BK143" s="20"/>
      <c r="BL143" s="20"/>
      <c r="BM143" s="20"/>
      <c r="BN143" s="20"/>
      <c r="BO143" s="20"/>
      <c r="BP143" s="20"/>
      <c r="BQ143" s="20"/>
      <c r="BR143" s="20"/>
      <c r="BS143" s="20"/>
      <c r="BT143" s="20"/>
      <c r="BU143" s="20"/>
      <c r="BV143" s="20"/>
      <c r="BW143" s="20"/>
      <c r="BX143" s="20"/>
      <c r="BY143" s="20"/>
      <c r="BZ143" s="20"/>
      <c r="CA143" s="20"/>
      <c r="CB143" s="20"/>
      <c r="CC143" s="20"/>
      <c r="CD143" s="20"/>
      <c r="CE143" s="20"/>
      <c r="CF143" s="20"/>
      <c r="CG143" s="20"/>
      <c r="CH143" s="20"/>
      <c r="CI143" s="20"/>
      <c r="CJ143" s="20"/>
      <c r="CK143" s="20"/>
      <c r="CL143" s="20"/>
      <c r="CM143" s="20"/>
      <c r="CN143" s="20"/>
      <c r="CO143" s="20"/>
      <c r="CP143" s="20"/>
      <c r="CQ143" s="20"/>
      <c r="CR143" s="20"/>
      <c r="CS143" s="20"/>
      <c r="CT143" s="20"/>
      <c r="CU143" s="20"/>
      <c r="CV143" s="20"/>
      <c r="CW143" s="20"/>
      <c r="CX143" s="20"/>
      <c r="CY143" s="20"/>
      <c r="CZ143" s="20"/>
      <c r="DA143" s="20"/>
      <c r="DB143" s="20"/>
      <c r="DC143" s="20"/>
      <c r="DD143" s="20"/>
      <c r="DE143" s="20"/>
      <c r="DF143" s="20"/>
      <c r="DG143" s="20"/>
      <c r="DH143" s="20"/>
      <c r="DI143" s="20"/>
      <c r="DJ143" s="20"/>
      <c r="DK143" s="20"/>
      <c r="DL143" s="20"/>
      <c r="DM143" s="20"/>
      <c r="DN143" s="20"/>
      <c r="DO143" s="20"/>
      <c r="DP143" s="20"/>
      <c r="DQ143" s="20"/>
      <c r="DR143" s="20"/>
      <c r="DS143" s="20"/>
      <c r="DT143" s="20"/>
      <c r="DU143" s="20"/>
      <c r="DV143" s="20"/>
      <c r="DW143" s="20"/>
      <c r="DX143" s="20"/>
      <c r="DY143" s="20"/>
      <c r="DZ143" s="20"/>
      <c r="EA143" s="20"/>
      <c r="EB143" s="20"/>
      <c r="EC143" s="20"/>
      <c r="ED143" s="20"/>
      <c r="EE143" s="20"/>
      <c r="EF143" s="20"/>
      <c r="EG143" s="20"/>
      <c r="EH143" s="20"/>
      <c r="EI143" s="20"/>
      <c r="EJ143" s="20"/>
      <c r="EK143" s="20"/>
      <c r="EL143" s="20"/>
      <c r="EM143" s="20"/>
      <c r="EN143" s="20"/>
      <c r="EO143" s="20"/>
      <c r="EP143" s="20"/>
      <c r="EQ143" s="20"/>
      <c r="ER143" s="20"/>
      <c r="ES143" s="20"/>
      <c r="ET143" s="20"/>
      <c r="EU143" s="20"/>
      <c r="EV143" s="20"/>
      <c r="EW143" s="20"/>
      <c r="EX143" s="20"/>
      <c r="EY143" s="20"/>
      <c r="EZ143" s="20"/>
      <c r="FA143" s="20"/>
      <c r="FB143" s="20"/>
      <c r="FC143" s="20"/>
      <c r="FD143" s="20"/>
      <c r="FE143" s="20"/>
      <c r="FF143" s="20"/>
      <c r="FG143" s="20"/>
      <c r="FH143" s="20"/>
      <c r="FI143" s="20"/>
      <c r="FJ143" s="20"/>
      <c r="FK143" s="20"/>
      <c r="FL143" s="20"/>
      <c r="FM143" s="20"/>
      <c r="FN143" s="20"/>
      <c r="FO143" s="20"/>
      <c r="FP143" s="20"/>
      <c r="FQ143" s="20"/>
      <c r="FR143" s="20"/>
      <c r="FS143" s="20"/>
      <c r="FT143" s="20"/>
      <c r="FU143" s="20"/>
      <c r="FV143" s="20"/>
      <c r="FW143" s="20"/>
      <c r="FX143" s="20"/>
      <c r="FY143" s="20"/>
      <c r="FZ143" s="20"/>
      <c r="GA143" s="20"/>
      <c r="GB143" s="20"/>
      <c r="GC143" s="20"/>
      <c r="GD143" s="20"/>
      <c r="GE143" s="20"/>
      <c r="GF143" s="20"/>
      <c r="GG143" s="20"/>
      <c r="GH143" s="20"/>
      <c r="GI143" s="20"/>
      <c r="GJ143" s="20"/>
      <c r="GK143" s="20"/>
    </row>
    <row r="144" spans="1:193" ht="18" customHeight="1">
      <c r="A144" s="9" t="str">
        <f t="shared" si="4"/>
        <v/>
      </c>
      <c r="B144" s="10"/>
      <c r="C144" s="11"/>
      <c r="D144" s="10"/>
      <c r="E144" s="11"/>
      <c r="F144" s="11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/>
      <c r="BO144" s="15"/>
      <c r="BP144" s="15"/>
      <c r="BQ144" s="15"/>
      <c r="BR144" s="15"/>
      <c r="BS144" s="12"/>
      <c r="BT144" s="12"/>
      <c r="BU144" s="12"/>
      <c r="BV144" s="12"/>
      <c r="BW144" s="12"/>
      <c r="BX144" s="12"/>
      <c r="BY144" s="12"/>
      <c r="BZ144" s="12"/>
      <c r="CA144" s="12"/>
      <c r="CB144" s="12"/>
      <c r="CC144" s="12"/>
      <c r="CD144" s="12"/>
      <c r="CE144" s="12"/>
      <c r="CF144" s="12"/>
      <c r="CG144" s="12"/>
      <c r="CH144" s="12"/>
      <c r="CI144" s="12"/>
      <c r="CJ144" s="12"/>
      <c r="CK144" s="12"/>
      <c r="CL144" s="12"/>
      <c r="CM144" s="15"/>
      <c r="CN144" s="15"/>
      <c r="CO144" s="15"/>
      <c r="CP144" s="15"/>
      <c r="CQ144" s="15"/>
      <c r="CR144" s="15"/>
      <c r="CS144" s="15"/>
      <c r="CT144" s="15"/>
      <c r="CU144" s="15"/>
      <c r="CV144" s="15"/>
      <c r="CW144" s="15"/>
      <c r="CX144" s="15"/>
      <c r="CY144" s="15"/>
      <c r="CZ144" s="15"/>
      <c r="DA144" s="15"/>
      <c r="DB144" s="15"/>
      <c r="DC144" s="15"/>
      <c r="DD144" s="15"/>
      <c r="DE144" s="15"/>
      <c r="DF144" s="15"/>
      <c r="DG144" s="14"/>
      <c r="DH144" s="14"/>
      <c r="DI144" s="14"/>
      <c r="DJ144" s="14"/>
      <c r="DK144" s="14"/>
      <c r="DL144" s="14"/>
      <c r="DM144" s="14"/>
      <c r="DN144" s="14"/>
      <c r="DO144" s="14"/>
      <c r="DP144" s="14"/>
      <c r="DQ144" s="14"/>
      <c r="DR144" s="14"/>
      <c r="DS144" s="14"/>
      <c r="DT144" s="14"/>
      <c r="DU144" s="14"/>
      <c r="DV144" s="14"/>
      <c r="DW144" s="14"/>
      <c r="DX144" s="14"/>
      <c r="DY144" s="14"/>
      <c r="DZ144" s="14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6"/>
      <c r="EV144" s="16"/>
      <c r="EW144" s="16"/>
      <c r="EX144" s="16"/>
      <c r="EY144" s="16"/>
      <c r="EZ144" s="16"/>
      <c r="FA144" s="16"/>
      <c r="FB144" s="16"/>
      <c r="FC144" s="16"/>
      <c r="FD144" s="16"/>
      <c r="FE144" s="16"/>
      <c r="FF144" s="16"/>
      <c r="FG144" s="16"/>
      <c r="FH144" s="16"/>
      <c r="FI144" s="16"/>
      <c r="FJ144" s="16"/>
      <c r="FK144" s="16"/>
      <c r="FL144" s="16"/>
      <c r="FM144" s="16"/>
      <c r="FN144" s="16"/>
      <c r="FO144" s="17"/>
      <c r="FP144" s="17"/>
      <c r="FQ144" s="17"/>
      <c r="FR144" s="17"/>
      <c r="FS144" s="17"/>
      <c r="FT144" s="17"/>
      <c r="FU144" s="17"/>
      <c r="FV144" s="17"/>
      <c r="FW144" s="17"/>
      <c r="FX144" s="17"/>
      <c r="FY144" s="17"/>
      <c r="FZ144" s="17"/>
      <c r="GA144" s="17"/>
      <c r="GB144" s="17"/>
      <c r="GC144" s="17"/>
      <c r="GD144" s="13"/>
      <c r="GE144" s="13"/>
      <c r="GF144" s="13"/>
      <c r="GG144" s="13"/>
      <c r="GH144" s="13"/>
      <c r="GI144" s="13"/>
      <c r="GJ144" s="13"/>
      <c r="GK144" s="13"/>
    </row>
    <row r="145" spans="1:193" ht="18" customHeight="1">
      <c r="A145" s="18" t="str">
        <f t="shared" si="4"/>
        <v/>
      </c>
      <c r="B145" s="19"/>
      <c r="C145" s="20"/>
      <c r="D145" s="19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  <c r="BJ145" s="20"/>
      <c r="BK145" s="20"/>
      <c r="BL145" s="20"/>
      <c r="BM145" s="20"/>
      <c r="BN145" s="20"/>
      <c r="BO145" s="20"/>
      <c r="BP145" s="20"/>
      <c r="BQ145" s="20"/>
      <c r="BR145" s="20"/>
      <c r="BS145" s="20"/>
      <c r="BT145" s="20"/>
      <c r="BU145" s="20"/>
      <c r="BV145" s="20"/>
      <c r="BW145" s="20"/>
      <c r="BX145" s="20"/>
      <c r="BY145" s="20"/>
      <c r="BZ145" s="20"/>
      <c r="CA145" s="20"/>
      <c r="CB145" s="20"/>
      <c r="CC145" s="20"/>
      <c r="CD145" s="20"/>
      <c r="CE145" s="20"/>
      <c r="CF145" s="20"/>
      <c r="CG145" s="20"/>
      <c r="CH145" s="20"/>
      <c r="CI145" s="20"/>
      <c r="CJ145" s="20"/>
      <c r="CK145" s="20"/>
      <c r="CL145" s="20"/>
      <c r="CM145" s="20"/>
      <c r="CN145" s="20"/>
      <c r="CO145" s="20"/>
      <c r="CP145" s="20"/>
      <c r="CQ145" s="20"/>
      <c r="CR145" s="20"/>
      <c r="CS145" s="20"/>
      <c r="CT145" s="20"/>
      <c r="CU145" s="20"/>
      <c r="CV145" s="20"/>
      <c r="CW145" s="20"/>
      <c r="CX145" s="20"/>
      <c r="CY145" s="20"/>
      <c r="CZ145" s="20"/>
      <c r="DA145" s="20"/>
      <c r="DB145" s="20"/>
      <c r="DC145" s="20"/>
      <c r="DD145" s="20"/>
      <c r="DE145" s="20"/>
      <c r="DF145" s="20"/>
      <c r="DG145" s="20"/>
      <c r="DH145" s="20"/>
      <c r="DI145" s="20"/>
      <c r="DJ145" s="20"/>
      <c r="DK145" s="20"/>
      <c r="DL145" s="20"/>
      <c r="DM145" s="20"/>
      <c r="DN145" s="20"/>
      <c r="DO145" s="20"/>
      <c r="DP145" s="20"/>
      <c r="DQ145" s="20"/>
      <c r="DR145" s="20"/>
      <c r="DS145" s="20"/>
      <c r="DT145" s="20"/>
      <c r="DU145" s="20"/>
      <c r="DV145" s="20"/>
      <c r="DW145" s="20"/>
      <c r="DX145" s="20"/>
      <c r="DY145" s="20"/>
      <c r="DZ145" s="20"/>
      <c r="EA145" s="20"/>
      <c r="EB145" s="20"/>
      <c r="EC145" s="20"/>
      <c r="ED145" s="20"/>
      <c r="EE145" s="20"/>
      <c r="EF145" s="20"/>
      <c r="EG145" s="20"/>
      <c r="EH145" s="20"/>
      <c r="EI145" s="20"/>
      <c r="EJ145" s="20"/>
      <c r="EK145" s="20"/>
      <c r="EL145" s="20"/>
      <c r="EM145" s="20"/>
      <c r="EN145" s="20"/>
      <c r="EO145" s="20"/>
      <c r="EP145" s="20"/>
      <c r="EQ145" s="20"/>
      <c r="ER145" s="20"/>
      <c r="ES145" s="20"/>
      <c r="ET145" s="20"/>
      <c r="EU145" s="20"/>
      <c r="EV145" s="20"/>
      <c r="EW145" s="20"/>
      <c r="EX145" s="20"/>
      <c r="EY145" s="20"/>
      <c r="EZ145" s="20"/>
      <c r="FA145" s="20"/>
      <c r="FB145" s="20"/>
      <c r="FC145" s="20"/>
      <c r="FD145" s="20"/>
      <c r="FE145" s="20"/>
      <c r="FF145" s="20"/>
      <c r="FG145" s="20"/>
      <c r="FH145" s="20"/>
      <c r="FI145" s="20"/>
      <c r="FJ145" s="20"/>
      <c r="FK145" s="20"/>
      <c r="FL145" s="20"/>
      <c r="FM145" s="20"/>
      <c r="FN145" s="20"/>
      <c r="FO145" s="20"/>
      <c r="FP145" s="20"/>
      <c r="FQ145" s="20"/>
      <c r="FR145" s="20"/>
      <c r="FS145" s="20"/>
      <c r="FT145" s="20"/>
      <c r="FU145" s="20"/>
      <c r="FV145" s="20"/>
      <c r="FW145" s="20"/>
      <c r="FX145" s="20"/>
      <c r="FY145" s="20"/>
      <c r="FZ145" s="20"/>
      <c r="GA145" s="20"/>
      <c r="GB145" s="20"/>
      <c r="GC145" s="20"/>
      <c r="GD145" s="20"/>
      <c r="GE145" s="20"/>
      <c r="GF145" s="20"/>
      <c r="GG145" s="20"/>
      <c r="GH145" s="20"/>
      <c r="GI145" s="20"/>
      <c r="GJ145" s="20"/>
      <c r="GK145" s="20"/>
    </row>
    <row r="146" spans="1:193" ht="18" customHeight="1">
      <c r="A146" s="9" t="str">
        <f t="shared" si="4"/>
        <v/>
      </c>
      <c r="B146" s="10"/>
      <c r="C146" s="11"/>
      <c r="D146" s="10"/>
      <c r="E146" s="11"/>
      <c r="F146" s="11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5"/>
      <c r="BD146" s="15"/>
      <c r="BE146" s="15"/>
      <c r="BF146" s="15"/>
      <c r="BG146" s="15"/>
      <c r="BH146" s="15"/>
      <c r="BI146" s="15"/>
      <c r="BJ146" s="15"/>
      <c r="BK146" s="15"/>
      <c r="BL146" s="15"/>
      <c r="BM146" s="15"/>
      <c r="BN146" s="15"/>
      <c r="BO146" s="15"/>
      <c r="BP146" s="15"/>
      <c r="BQ146" s="15"/>
      <c r="BR146" s="15"/>
      <c r="BS146" s="12"/>
      <c r="BT146" s="12"/>
      <c r="BU146" s="12"/>
      <c r="BV146" s="12"/>
      <c r="BW146" s="12"/>
      <c r="BX146" s="12"/>
      <c r="BY146" s="12"/>
      <c r="BZ146" s="12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5"/>
      <c r="CN146" s="15"/>
      <c r="CO146" s="15"/>
      <c r="CP146" s="15"/>
      <c r="CQ146" s="15"/>
      <c r="CR146" s="15"/>
      <c r="CS146" s="15"/>
      <c r="CT146" s="15"/>
      <c r="CU146" s="15"/>
      <c r="CV146" s="15"/>
      <c r="CW146" s="15"/>
      <c r="CX146" s="15"/>
      <c r="CY146" s="15"/>
      <c r="CZ146" s="15"/>
      <c r="DA146" s="15"/>
      <c r="DB146" s="15"/>
      <c r="DC146" s="15"/>
      <c r="DD146" s="15"/>
      <c r="DE146" s="15"/>
      <c r="DF146" s="15"/>
      <c r="DG146" s="14"/>
      <c r="DH146" s="14"/>
      <c r="DI146" s="14"/>
      <c r="DJ146" s="14"/>
      <c r="DK146" s="14"/>
      <c r="DL146" s="14"/>
      <c r="DM146" s="14"/>
      <c r="DN146" s="14"/>
      <c r="DO146" s="14"/>
      <c r="DP146" s="14"/>
      <c r="DQ146" s="14"/>
      <c r="DR146" s="14"/>
      <c r="DS146" s="14"/>
      <c r="DT146" s="14"/>
      <c r="DU146" s="14"/>
      <c r="DV146" s="14"/>
      <c r="DW146" s="14"/>
      <c r="DX146" s="14"/>
      <c r="DY146" s="14"/>
      <c r="DZ146" s="14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6"/>
      <c r="EV146" s="16"/>
      <c r="EW146" s="16"/>
      <c r="EX146" s="16"/>
      <c r="EY146" s="16"/>
      <c r="EZ146" s="16"/>
      <c r="FA146" s="16"/>
      <c r="FB146" s="16"/>
      <c r="FC146" s="16"/>
      <c r="FD146" s="16"/>
      <c r="FE146" s="16"/>
      <c r="FF146" s="16"/>
      <c r="FG146" s="16"/>
      <c r="FH146" s="16"/>
      <c r="FI146" s="16"/>
      <c r="FJ146" s="16"/>
      <c r="FK146" s="16"/>
      <c r="FL146" s="16"/>
      <c r="FM146" s="16"/>
      <c r="FN146" s="16"/>
      <c r="FO146" s="17"/>
      <c r="FP146" s="17"/>
      <c r="FQ146" s="17"/>
      <c r="FR146" s="17"/>
      <c r="FS146" s="17"/>
      <c r="FT146" s="17"/>
      <c r="FU146" s="17"/>
      <c r="FV146" s="17"/>
      <c r="FW146" s="17"/>
      <c r="FX146" s="17"/>
      <c r="FY146" s="17"/>
      <c r="FZ146" s="17"/>
      <c r="GA146" s="17"/>
      <c r="GB146" s="17"/>
      <c r="GC146" s="17"/>
      <c r="GD146" s="13"/>
      <c r="GE146" s="13"/>
      <c r="GF146" s="13"/>
      <c r="GG146" s="13"/>
      <c r="GH146" s="13"/>
      <c r="GI146" s="13"/>
      <c r="GJ146" s="13"/>
      <c r="GK146" s="13"/>
    </row>
    <row r="147" spans="1:193" ht="18" customHeight="1">
      <c r="A147" s="18" t="str">
        <f t="shared" si="4"/>
        <v/>
      </c>
      <c r="B147" s="19"/>
      <c r="C147" s="20"/>
      <c r="D147" s="19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20"/>
      <c r="BM147" s="20"/>
      <c r="BN147" s="20"/>
      <c r="BO147" s="20"/>
      <c r="BP147" s="20"/>
      <c r="BQ147" s="20"/>
      <c r="BR147" s="20"/>
      <c r="BS147" s="20"/>
      <c r="BT147" s="20"/>
      <c r="BU147" s="20"/>
      <c r="BV147" s="20"/>
      <c r="BW147" s="20"/>
      <c r="BX147" s="20"/>
      <c r="BY147" s="20"/>
      <c r="BZ147" s="20"/>
      <c r="CA147" s="20"/>
      <c r="CB147" s="20"/>
      <c r="CC147" s="20"/>
      <c r="CD147" s="20"/>
      <c r="CE147" s="20"/>
      <c r="CF147" s="20"/>
      <c r="CG147" s="20"/>
      <c r="CH147" s="20"/>
      <c r="CI147" s="20"/>
      <c r="CJ147" s="20"/>
      <c r="CK147" s="20"/>
      <c r="CL147" s="20"/>
      <c r="CM147" s="20"/>
      <c r="CN147" s="20"/>
      <c r="CO147" s="20"/>
      <c r="CP147" s="20"/>
      <c r="CQ147" s="20"/>
      <c r="CR147" s="20"/>
      <c r="CS147" s="20"/>
      <c r="CT147" s="20"/>
      <c r="CU147" s="20"/>
      <c r="CV147" s="20"/>
      <c r="CW147" s="20"/>
      <c r="CX147" s="20"/>
      <c r="CY147" s="20"/>
      <c r="CZ147" s="20"/>
      <c r="DA147" s="20"/>
      <c r="DB147" s="20"/>
      <c r="DC147" s="20"/>
      <c r="DD147" s="20"/>
      <c r="DE147" s="20"/>
      <c r="DF147" s="20"/>
      <c r="DG147" s="20"/>
      <c r="DH147" s="20"/>
      <c r="DI147" s="20"/>
      <c r="DJ147" s="20"/>
      <c r="DK147" s="20"/>
      <c r="DL147" s="20"/>
      <c r="DM147" s="20"/>
      <c r="DN147" s="20"/>
      <c r="DO147" s="20"/>
      <c r="DP147" s="20"/>
      <c r="DQ147" s="20"/>
      <c r="DR147" s="20"/>
      <c r="DS147" s="20"/>
      <c r="DT147" s="20"/>
      <c r="DU147" s="20"/>
      <c r="DV147" s="20"/>
      <c r="DW147" s="20"/>
      <c r="DX147" s="20"/>
      <c r="DY147" s="20"/>
      <c r="DZ147" s="20"/>
      <c r="EA147" s="20"/>
      <c r="EB147" s="20"/>
      <c r="EC147" s="20"/>
      <c r="ED147" s="20"/>
      <c r="EE147" s="20"/>
      <c r="EF147" s="20"/>
      <c r="EG147" s="20"/>
      <c r="EH147" s="20"/>
      <c r="EI147" s="20"/>
      <c r="EJ147" s="20"/>
      <c r="EK147" s="20"/>
      <c r="EL147" s="20"/>
      <c r="EM147" s="20"/>
      <c r="EN147" s="20"/>
      <c r="EO147" s="20"/>
      <c r="EP147" s="20"/>
      <c r="EQ147" s="20"/>
      <c r="ER147" s="20"/>
      <c r="ES147" s="20"/>
      <c r="ET147" s="20"/>
      <c r="EU147" s="20"/>
      <c r="EV147" s="20"/>
      <c r="EW147" s="20"/>
      <c r="EX147" s="20"/>
      <c r="EY147" s="20"/>
      <c r="EZ147" s="20"/>
      <c r="FA147" s="20"/>
      <c r="FB147" s="20"/>
      <c r="FC147" s="20"/>
      <c r="FD147" s="20"/>
      <c r="FE147" s="20"/>
      <c r="FF147" s="20"/>
      <c r="FG147" s="20"/>
      <c r="FH147" s="20"/>
      <c r="FI147" s="20"/>
      <c r="FJ147" s="20"/>
      <c r="FK147" s="20"/>
      <c r="FL147" s="20"/>
      <c r="FM147" s="20"/>
      <c r="FN147" s="20"/>
      <c r="FO147" s="20"/>
      <c r="FP147" s="20"/>
      <c r="FQ147" s="20"/>
      <c r="FR147" s="20"/>
      <c r="FS147" s="20"/>
      <c r="FT147" s="20"/>
      <c r="FU147" s="20"/>
      <c r="FV147" s="20"/>
      <c r="FW147" s="20"/>
      <c r="FX147" s="20"/>
      <c r="FY147" s="20"/>
      <c r="FZ147" s="20"/>
      <c r="GA147" s="20"/>
      <c r="GB147" s="20"/>
      <c r="GC147" s="20"/>
      <c r="GD147" s="20"/>
      <c r="GE147" s="20"/>
      <c r="GF147" s="20"/>
      <c r="GG147" s="20"/>
      <c r="GH147" s="20"/>
      <c r="GI147" s="20"/>
      <c r="GJ147" s="20"/>
      <c r="GK147" s="20"/>
    </row>
    <row r="148" spans="1:193" ht="18" customHeight="1">
      <c r="A148" s="9" t="str">
        <f t="shared" si="4"/>
        <v/>
      </c>
      <c r="B148" s="10"/>
      <c r="C148" s="11"/>
      <c r="D148" s="10"/>
      <c r="E148" s="11"/>
      <c r="F148" s="11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5"/>
      <c r="BD148" s="15"/>
      <c r="BE148" s="15"/>
      <c r="BF148" s="15"/>
      <c r="BG148" s="15"/>
      <c r="BH148" s="15"/>
      <c r="BI148" s="15"/>
      <c r="BJ148" s="15"/>
      <c r="BK148" s="15"/>
      <c r="BL148" s="15"/>
      <c r="BM148" s="15"/>
      <c r="BN148" s="15"/>
      <c r="BO148" s="15"/>
      <c r="BP148" s="15"/>
      <c r="BQ148" s="15"/>
      <c r="BR148" s="15"/>
      <c r="BS148" s="12"/>
      <c r="BT148" s="12"/>
      <c r="BU148" s="12"/>
      <c r="BV148" s="12"/>
      <c r="BW148" s="12"/>
      <c r="BX148" s="12"/>
      <c r="BY148" s="12"/>
      <c r="BZ148" s="12"/>
      <c r="CA148" s="12"/>
      <c r="CB148" s="12"/>
      <c r="CC148" s="12"/>
      <c r="CD148" s="12"/>
      <c r="CE148" s="12"/>
      <c r="CF148" s="12"/>
      <c r="CG148" s="12"/>
      <c r="CH148" s="12"/>
      <c r="CI148" s="12"/>
      <c r="CJ148" s="12"/>
      <c r="CK148" s="12"/>
      <c r="CL148" s="12"/>
      <c r="CM148" s="15"/>
      <c r="CN148" s="15"/>
      <c r="CO148" s="15"/>
      <c r="CP148" s="15"/>
      <c r="CQ148" s="15"/>
      <c r="CR148" s="15"/>
      <c r="CS148" s="15"/>
      <c r="CT148" s="15"/>
      <c r="CU148" s="15"/>
      <c r="CV148" s="15"/>
      <c r="CW148" s="15"/>
      <c r="CX148" s="15"/>
      <c r="CY148" s="15"/>
      <c r="CZ148" s="15"/>
      <c r="DA148" s="15"/>
      <c r="DB148" s="15"/>
      <c r="DC148" s="15"/>
      <c r="DD148" s="15"/>
      <c r="DE148" s="15"/>
      <c r="DF148" s="15"/>
      <c r="DG148" s="14"/>
      <c r="DH148" s="14"/>
      <c r="DI148" s="14"/>
      <c r="DJ148" s="14"/>
      <c r="DK148" s="14"/>
      <c r="DL148" s="14"/>
      <c r="DM148" s="14"/>
      <c r="DN148" s="14"/>
      <c r="DO148" s="14"/>
      <c r="DP148" s="14"/>
      <c r="DQ148" s="14"/>
      <c r="DR148" s="14"/>
      <c r="DS148" s="14"/>
      <c r="DT148" s="14"/>
      <c r="DU148" s="14"/>
      <c r="DV148" s="14"/>
      <c r="DW148" s="14"/>
      <c r="DX148" s="14"/>
      <c r="DY148" s="14"/>
      <c r="DZ148" s="14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6"/>
      <c r="EV148" s="16"/>
      <c r="EW148" s="16"/>
      <c r="EX148" s="16"/>
      <c r="EY148" s="16"/>
      <c r="EZ148" s="16"/>
      <c r="FA148" s="16"/>
      <c r="FB148" s="16"/>
      <c r="FC148" s="16"/>
      <c r="FD148" s="16"/>
      <c r="FE148" s="16"/>
      <c r="FF148" s="16"/>
      <c r="FG148" s="16"/>
      <c r="FH148" s="16"/>
      <c r="FI148" s="16"/>
      <c r="FJ148" s="16"/>
      <c r="FK148" s="16"/>
      <c r="FL148" s="16"/>
      <c r="FM148" s="16"/>
      <c r="FN148" s="16"/>
      <c r="FO148" s="17"/>
      <c r="FP148" s="17"/>
      <c r="FQ148" s="17"/>
      <c r="FR148" s="17"/>
      <c r="FS148" s="17"/>
      <c r="FT148" s="17"/>
      <c r="FU148" s="17"/>
      <c r="FV148" s="17"/>
      <c r="FW148" s="17"/>
      <c r="FX148" s="17"/>
      <c r="FY148" s="17"/>
      <c r="FZ148" s="17"/>
      <c r="GA148" s="17"/>
      <c r="GB148" s="17"/>
      <c r="GC148" s="17"/>
      <c r="GD148" s="13"/>
      <c r="GE148" s="13"/>
      <c r="GF148" s="13"/>
      <c r="GG148" s="13"/>
      <c r="GH148" s="13"/>
      <c r="GI148" s="13"/>
      <c r="GJ148" s="13"/>
      <c r="GK148" s="13"/>
    </row>
    <row r="149" spans="1:193" ht="18" customHeight="1">
      <c r="A149" s="18" t="str">
        <f t="shared" si="4"/>
        <v/>
      </c>
      <c r="B149" s="19"/>
      <c r="C149" s="20"/>
      <c r="D149" s="19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  <c r="BJ149" s="20"/>
      <c r="BK149" s="20"/>
      <c r="BL149" s="20"/>
      <c r="BM149" s="20"/>
      <c r="BN149" s="20"/>
      <c r="BO149" s="20"/>
      <c r="BP149" s="20"/>
      <c r="BQ149" s="20"/>
      <c r="BR149" s="20"/>
      <c r="BS149" s="20"/>
      <c r="BT149" s="20"/>
      <c r="BU149" s="20"/>
      <c r="BV149" s="20"/>
      <c r="BW149" s="20"/>
      <c r="BX149" s="20"/>
      <c r="BY149" s="20"/>
      <c r="BZ149" s="20"/>
      <c r="CA149" s="20"/>
      <c r="CB149" s="20"/>
      <c r="CC149" s="20"/>
      <c r="CD149" s="20"/>
      <c r="CE149" s="20"/>
      <c r="CF149" s="20"/>
      <c r="CG149" s="20"/>
      <c r="CH149" s="20"/>
      <c r="CI149" s="20"/>
      <c r="CJ149" s="20"/>
      <c r="CK149" s="20"/>
      <c r="CL149" s="20"/>
      <c r="CM149" s="20"/>
      <c r="CN149" s="20"/>
      <c r="CO149" s="20"/>
      <c r="CP149" s="20"/>
      <c r="CQ149" s="20"/>
      <c r="CR149" s="20"/>
      <c r="CS149" s="20"/>
      <c r="CT149" s="20"/>
      <c r="CU149" s="20"/>
      <c r="CV149" s="20"/>
      <c r="CW149" s="20"/>
      <c r="CX149" s="20"/>
      <c r="CY149" s="20"/>
      <c r="CZ149" s="20"/>
      <c r="DA149" s="20"/>
      <c r="DB149" s="20"/>
      <c r="DC149" s="20"/>
      <c r="DD149" s="20"/>
      <c r="DE149" s="20"/>
      <c r="DF149" s="20"/>
      <c r="DG149" s="20"/>
      <c r="DH149" s="20"/>
      <c r="DI149" s="20"/>
      <c r="DJ149" s="20"/>
      <c r="DK149" s="20"/>
      <c r="DL149" s="20"/>
      <c r="DM149" s="20"/>
      <c r="DN149" s="20"/>
      <c r="DO149" s="20"/>
      <c r="DP149" s="20"/>
      <c r="DQ149" s="20"/>
      <c r="DR149" s="20"/>
      <c r="DS149" s="20"/>
      <c r="DT149" s="20"/>
      <c r="DU149" s="20"/>
      <c r="DV149" s="20"/>
      <c r="DW149" s="20"/>
      <c r="DX149" s="20"/>
      <c r="DY149" s="20"/>
      <c r="DZ149" s="20"/>
      <c r="EA149" s="20"/>
      <c r="EB149" s="20"/>
      <c r="EC149" s="20"/>
      <c r="ED149" s="20"/>
      <c r="EE149" s="20"/>
      <c r="EF149" s="20"/>
      <c r="EG149" s="20"/>
      <c r="EH149" s="20"/>
      <c r="EI149" s="20"/>
      <c r="EJ149" s="20"/>
      <c r="EK149" s="20"/>
      <c r="EL149" s="20"/>
      <c r="EM149" s="20"/>
      <c r="EN149" s="20"/>
      <c r="EO149" s="20"/>
      <c r="EP149" s="20"/>
      <c r="EQ149" s="20"/>
      <c r="ER149" s="20"/>
      <c r="ES149" s="20"/>
      <c r="ET149" s="20"/>
      <c r="EU149" s="20"/>
      <c r="EV149" s="20"/>
      <c r="EW149" s="20"/>
      <c r="EX149" s="20"/>
      <c r="EY149" s="20"/>
      <c r="EZ149" s="20"/>
      <c r="FA149" s="20"/>
      <c r="FB149" s="20"/>
      <c r="FC149" s="20"/>
      <c r="FD149" s="20"/>
      <c r="FE149" s="20"/>
      <c r="FF149" s="20"/>
      <c r="FG149" s="20"/>
      <c r="FH149" s="20"/>
      <c r="FI149" s="20"/>
      <c r="FJ149" s="20"/>
      <c r="FK149" s="20"/>
      <c r="FL149" s="20"/>
      <c r="FM149" s="20"/>
      <c r="FN149" s="20"/>
      <c r="FO149" s="20"/>
      <c r="FP149" s="20"/>
      <c r="FQ149" s="20"/>
      <c r="FR149" s="20"/>
      <c r="FS149" s="20"/>
      <c r="FT149" s="20"/>
      <c r="FU149" s="20"/>
      <c r="FV149" s="20"/>
      <c r="FW149" s="20"/>
      <c r="FX149" s="20"/>
      <c r="FY149" s="20"/>
      <c r="FZ149" s="20"/>
      <c r="GA149" s="20"/>
      <c r="GB149" s="20"/>
      <c r="GC149" s="20"/>
      <c r="GD149" s="20"/>
      <c r="GE149" s="20"/>
      <c r="GF149" s="20"/>
      <c r="GG149" s="20"/>
      <c r="GH149" s="20"/>
      <c r="GI149" s="20"/>
      <c r="GJ149" s="20"/>
      <c r="GK149" s="20"/>
    </row>
    <row r="150" spans="1:193" ht="18" customHeight="1">
      <c r="A150" s="9" t="str">
        <f t="shared" si="4"/>
        <v/>
      </c>
      <c r="B150" s="10"/>
      <c r="C150" s="11"/>
      <c r="D150" s="10"/>
      <c r="E150" s="11"/>
      <c r="F150" s="11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  <c r="BC150" s="15"/>
      <c r="BD150" s="15"/>
      <c r="BE150" s="15"/>
      <c r="BF150" s="15"/>
      <c r="BG150" s="15"/>
      <c r="BH150" s="15"/>
      <c r="BI150" s="15"/>
      <c r="BJ150" s="15"/>
      <c r="BK150" s="15"/>
      <c r="BL150" s="15"/>
      <c r="BM150" s="15"/>
      <c r="BN150" s="15"/>
      <c r="BO150" s="15"/>
      <c r="BP150" s="15"/>
      <c r="BQ150" s="15"/>
      <c r="BR150" s="15"/>
      <c r="BS150" s="12"/>
      <c r="BT150" s="12"/>
      <c r="BU150" s="12"/>
      <c r="BV150" s="12"/>
      <c r="BW150" s="12"/>
      <c r="BX150" s="12"/>
      <c r="BY150" s="12"/>
      <c r="BZ150" s="12"/>
      <c r="CA150" s="12"/>
      <c r="CB150" s="12"/>
      <c r="CC150" s="12"/>
      <c r="CD150" s="12"/>
      <c r="CE150" s="12"/>
      <c r="CF150" s="12"/>
      <c r="CG150" s="12"/>
      <c r="CH150" s="12"/>
      <c r="CI150" s="12"/>
      <c r="CJ150" s="12"/>
      <c r="CK150" s="12"/>
      <c r="CL150" s="12"/>
      <c r="CM150" s="15"/>
      <c r="CN150" s="15"/>
      <c r="CO150" s="15"/>
      <c r="CP150" s="15"/>
      <c r="CQ150" s="15"/>
      <c r="CR150" s="15"/>
      <c r="CS150" s="15"/>
      <c r="CT150" s="15"/>
      <c r="CU150" s="15"/>
      <c r="CV150" s="15"/>
      <c r="CW150" s="15"/>
      <c r="CX150" s="15"/>
      <c r="CY150" s="15"/>
      <c r="CZ150" s="15"/>
      <c r="DA150" s="15"/>
      <c r="DB150" s="15"/>
      <c r="DC150" s="15"/>
      <c r="DD150" s="15"/>
      <c r="DE150" s="15"/>
      <c r="DF150" s="15"/>
      <c r="DG150" s="14"/>
      <c r="DH150" s="14"/>
      <c r="DI150" s="14"/>
      <c r="DJ150" s="14"/>
      <c r="DK150" s="14"/>
      <c r="DL150" s="14"/>
      <c r="DM150" s="14"/>
      <c r="DN150" s="14"/>
      <c r="DO150" s="14"/>
      <c r="DP150" s="14"/>
      <c r="DQ150" s="14"/>
      <c r="DR150" s="14"/>
      <c r="DS150" s="14"/>
      <c r="DT150" s="14"/>
      <c r="DU150" s="14"/>
      <c r="DV150" s="14"/>
      <c r="DW150" s="14"/>
      <c r="DX150" s="14"/>
      <c r="DY150" s="14"/>
      <c r="DZ150" s="14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6"/>
      <c r="EV150" s="16"/>
      <c r="EW150" s="16"/>
      <c r="EX150" s="16"/>
      <c r="EY150" s="16"/>
      <c r="EZ150" s="16"/>
      <c r="FA150" s="16"/>
      <c r="FB150" s="16"/>
      <c r="FC150" s="16"/>
      <c r="FD150" s="16"/>
      <c r="FE150" s="16"/>
      <c r="FF150" s="16"/>
      <c r="FG150" s="16"/>
      <c r="FH150" s="16"/>
      <c r="FI150" s="16"/>
      <c r="FJ150" s="16"/>
      <c r="FK150" s="16"/>
      <c r="FL150" s="16"/>
      <c r="FM150" s="16"/>
      <c r="FN150" s="16"/>
      <c r="FO150" s="17"/>
      <c r="FP150" s="17"/>
      <c r="FQ150" s="17"/>
      <c r="FR150" s="17"/>
      <c r="FS150" s="17"/>
      <c r="FT150" s="17"/>
      <c r="FU150" s="17"/>
      <c r="FV150" s="17"/>
      <c r="FW150" s="17"/>
      <c r="FX150" s="17"/>
      <c r="FY150" s="17"/>
      <c r="FZ150" s="17"/>
      <c r="GA150" s="17"/>
      <c r="GB150" s="17"/>
      <c r="GC150" s="17"/>
      <c r="GD150" s="13"/>
      <c r="GE150" s="13"/>
      <c r="GF150" s="13"/>
      <c r="GG150" s="13"/>
      <c r="GH150" s="13"/>
      <c r="GI150" s="13"/>
      <c r="GJ150" s="13"/>
      <c r="GK150" s="13"/>
    </row>
    <row r="151" spans="1:193" ht="18" customHeight="1">
      <c r="A151" s="18" t="str">
        <f t="shared" si="4"/>
        <v/>
      </c>
      <c r="B151" s="19"/>
      <c r="C151" s="20"/>
      <c r="D151" s="19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  <c r="BN151" s="20"/>
      <c r="BO151" s="20"/>
      <c r="BP151" s="20"/>
      <c r="BQ151" s="20"/>
      <c r="BR151" s="20"/>
      <c r="BS151" s="20"/>
      <c r="BT151" s="20"/>
      <c r="BU151" s="20"/>
      <c r="BV151" s="20"/>
      <c r="BW151" s="20"/>
      <c r="BX151" s="20"/>
      <c r="BY151" s="20"/>
      <c r="BZ151" s="20"/>
      <c r="CA151" s="20"/>
      <c r="CB151" s="20"/>
      <c r="CC151" s="20"/>
      <c r="CD151" s="20"/>
      <c r="CE151" s="20"/>
      <c r="CF151" s="20"/>
      <c r="CG151" s="20"/>
      <c r="CH151" s="20"/>
      <c r="CI151" s="20"/>
      <c r="CJ151" s="20"/>
      <c r="CK151" s="20"/>
      <c r="CL151" s="20"/>
      <c r="CM151" s="20"/>
      <c r="CN151" s="20"/>
      <c r="CO151" s="20"/>
      <c r="CP151" s="20"/>
      <c r="CQ151" s="20"/>
      <c r="CR151" s="20"/>
      <c r="CS151" s="20"/>
      <c r="CT151" s="20"/>
      <c r="CU151" s="20"/>
      <c r="CV151" s="20"/>
      <c r="CW151" s="20"/>
      <c r="CX151" s="20"/>
      <c r="CY151" s="20"/>
      <c r="CZ151" s="20"/>
      <c r="DA151" s="20"/>
      <c r="DB151" s="20"/>
      <c r="DC151" s="20"/>
      <c r="DD151" s="20"/>
      <c r="DE151" s="20"/>
      <c r="DF151" s="20"/>
      <c r="DG151" s="20"/>
      <c r="DH151" s="20"/>
      <c r="DI151" s="20"/>
      <c r="DJ151" s="20"/>
      <c r="DK151" s="20"/>
      <c r="DL151" s="20"/>
      <c r="DM151" s="20"/>
      <c r="DN151" s="20"/>
      <c r="DO151" s="20"/>
      <c r="DP151" s="20"/>
      <c r="DQ151" s="20"/>
      <c r="DR151" s="20"/>
      <c r="DS151" s="20"/>
      <c r="DT151" s="20"/>
      <c r="DU151" s="20"/>
      <c r="DV151" s="20"/>
      <c r="DW151" s="20"/>
      <c r="DX151" s="20"/>
      <c r="DY151" s="20"/>
      <c r="DZ151" s="20"/>
      <c r="EA151" s="20"/>
      <c r="EB151" s="20"/>
      <c r="EC151" s="20"/>
      <c r="ED151" s="20"/>
      <c r="EE151" s="20"/>
      <c r="EF151" s="20"/>
      <c r="EG151" s="20"/>
      <c r="EH151" s="20"/>
      <c r="EI151" s="20"/>
      <c r="EJ151" s="20"/>
      <c r="EK151" s="20"/>
      <c r="EL151" s="20"/>
      <c r="EM151" s="20"/>
      <c r="EN151" s="20"/>
      <c r="EO151" s="20"/>
      <c r="EP151" s="20"/>
      <c r="EQ151" s="20"/>
      <c r="ER151" s="20"/>
      <c r="ES151" s="20"/>
      <c r="ET151" s="20"/>
      <c r="EU151" s="20"/>
      <c r="EV151" s="20"/>
      <c r="EW151" s="20"/>
      <c r="EX151" s="20"/>
      <c r="EY151" s="20"/>
      <c r="EZ151" s="20"/>
      <c r="FA151" s="20"/>
      <c r="FB151" s="20"/>
      <c r="FC151" s="20"/>
      <c r="FD151" s="20"/>
      <c r="FE151" s="20"/>
      <c r="FF151" s="20"/>
      <c r="FG151" s="20"/>
      <c r="FH151" s="20"/>
      <c r="FI151" s="20"/>
      <c r="FJ151" s="20"/>
      <c r="FK151" s="20"/>
      <c r="FL151" s="20"/>
      <c r="FM151" s="20"/>
      <c r="FN151" s="20"/>
      <c r="FO151" s="20"/>
      <c r="FP151" s="20"/>
      <c r="FQ151" s="20"/>
      <c r="FR151" s="20"/>
      <c r="FS151" s="20"/>
      <c r="FT151" s="20"/>
      <c r="FU151" s="20"/>
      <c r="FV151" s="20"/>
      <c r="FW151" s="20"/>
      <c r="FX151" s="20"/>
      <c r="FY151" s="20"/>
      <c r="FZ151" s="20"/>
      <c r="GA151" s="20"/>
      <c r="GB151" s="20"/>
      <c r="GC151" s="20"/>
      <c r="GD151" s="20"/>
      <c r="GE151" s="20"/>
      <c r="GF151" s="20"/>
      <c r="GG151" s="20"/>
      <c r="GH151" s="20"/>
      <c r="GI151" s="20"/>
      <c r="GJ151" s="20"/>
      <c r="GK151" s="20"/>
    </row>
    <row r="152" spans="1:193" ht="18" customHeight="1">
      <c r="A152" s="9" t="str">
        <f t="shared" si="4"/>
        <v/>
      </c>
      <c r="B152" s="10"/>
      <c r="C152" s="11"/>
      <c r="D152" s="10"/>
      <c r="E152" s="11"/>
      <c r="F152" s="11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  <c r="BC152" s="15"/>
      <c r="BD152" s="15"/>
      <c r="BE152" s="15"/>
      <c r="BF152" s="15"/>
      <c r="BG152" s="15"/>
      <c r="BH152" s="15"/>
      <c r="BI152" s="15"/>
      <c r="BJ152" s="15"/>
      <c r="BK152" s="15"/>
      <c r="BL152" s="15"/>
      <c r="BM152" s="15"/>
      <c r="BN152" s="15"/>
      <c r="BO152" s="15"/>
      <c r="BP152" s="15"/>
      <c r="BQ152" s="15"/>
      <c r="BR152" s="15"/>
      <c r="BS152" s="12"/>
      <c r="BT152" s="12"/>
      <c r="BU152" s="12"/>
      <c r="BV152" s="12"/>
      <c r="BW152" s="12"/>
      <c r="BX152" s="12"/>
      <c r="BY152" s="12"/>
      <c r="BZ152" s="12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12"/>
      <c r="CM152" s="15"/>
      <c r="CN152" s="15"/>
      <c r="CO152" s="15"/>
      <c r="CP152" s="15"/>
      <c r="CQ152" s="15"/>
      <c r="CR152" s="15"/>
      <c r="CS152" s="15"/>
      <c r="CT152" s="15"/>
      <c r="CU152" s="15"/>
      <c r="CV152" s="15"/>
      <c r="CW152" s="15"/>
      <c r="CX152" s="15"/>
      <c r="CY152" s="15"/>
      <c r="CZ152" s="15"/>
      <c r="DA152" s="15"/>
      <c r="DB152" s="15"/>
      <c r="DC152" s="15"/>
      <c r="DD152" s="15"/>
      <c r="DE152" s="15"/>
      <c r="DF152" s="15"/>
      <c r="DG152" s="14"/>
      <c r="DH152" s="14"/>
      <c r="DI152" s="14"/>
      <c r="DJ152" s="14"/>
      <c r="DK152" s="14"/>
      <c r="DL152" s="14"/>
      <c r="DM152" s="14"/>
      <c r="DN152" s="14"/>
      <c r="DO152" s="14"/>
      <c r="DP152" s="14"/>
      <c r="DQ152" s="14"/>
      <c r="DR152" s="14"/>
      <c r="DS152" s="14"/>
      <c r="DT152" s="14"/>
      <c r="DU152" s="14"/>
      <c r="DV152" s="14"/>
      <c r="DW152" s="14"/>
      <c r="DX152" s="14"/>
      <c r="DY152" s="14"/>
      <c r="DZ152" s="14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6"/>
      <c r="EV152" s="16"/>
      <c r="EW152" s="16"/>
      <c r="EX152" s="16"/>
      <c r="EY152" s="16"/>
      <c r="EZ152" s="16"/>
      <c r="FA152" s="16"/>
      <c r="FB152" s="16"/>
      <c r="FC152" s="16"/>
      <c r="FD152" s="16"/>
      <c r="FE152" s="16"/>
      <c r="FF152" s="16"/>
      <c r="FG152" s="16"/>
      <c r="FH152" s="16"/>
      <c r="FI152" s="16"/>
      <c r="FJ152" s="16"/>
      <c r="FK152" s="16"/>
      <c r="FL152" s="16"/>
      <c r="FM152" s="16"/>
      <c r="FN152" s="16"/>
      <c r="FO152" s="17"/>
      <c r="FP152" s="17"/>
      <c r="FQ152" s="17"/>
      <c r="FR152" s="17"/>
      <c r="FS152" s="17"/>
      <c r="FT152" s="17"/>
      <c r="FU152" s="17"/>
      <c r="FV152" s="17"/>
      <c r="FW152" s="17"/>
      <c r="FX152" s="17"/>
      <c r="FY152" s="17"/>
      <c r="FZ152" s="17"/>
      <c r="GA152" s="17"/>
      <c r="GB152" s="17"/>
      <c r="GC152" s="17"/>
      <c r="GD152" s="13"/>
      <c r="GE152" s="13"/>
      <c r="GF152" s="13"/>
      <c r="GG152" s="13"/>
      <c r="GH152" s="13"/>
      <c r="GI152" s="13"/>
      <c r="GJ152" s="13"/>
      <c r="GK152" s="13"/>
    </row>
    <row r="153" spans="1:193" ht="18" customHeight="1">
      <c r="A153" s="18" t="str">
        <f t="shared" si="4"/>
        <v/>
      </c>
      <c r="B153" s="19"/>
      <c r="C153" s="20"/>
      <c r="D153" s="19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20"/>
      <c r="BJ153" s="20"/>
      <c r="BK153" s="20"/>
      <c r="BL153" s="20"/>
      <c r="BM153" s="20"/>
      <c r="BN153" s="20"/>
      <c r="BO153" s="20"/>
      <c r="BP153" s="20"/>
      <c r="BQ153" s="20"/>
      <c r="BR153" s="20"/>
      <c r="BS153" s="20"/>
      <c r="BT153" s="20"/>
      <c r="BU153" s="20"/>
      <c r="BV153" s="20"/>
      <c r="BW153" s="20"/>
      <c r="BX153" s="20"/>
      <c r="BY153" s="20"/>
      <c r="BZ153" s="20"/>
      <c r="CA153" s="20"/>
      <c r="CB153" s="20"/>
      <c r="CC153" s="20"/>
      <c r="CD153" s="20"/>
      <c r="CE153" s="20"/>
      <c r="CF153" s="20"/>
      <c r="CG153" s="20"/>
      <c r="CH153" s="20"/>
      <c r="CI153" s="20"/>
      <c r="CJ153" s="20"/>
      <c r="CK153" s="20"/>
      <c r="CL153" s="20"/>
      <c r="CM153" s="20"/>
      <c r="CN153" s="20"/>
      <c r="CO153" s="20"/>
      <c r="CP153" s="20"/>
      <c r="CQ153" s="20"/>
      <c r="CR153" s="20"/>
      <c r="CS153" s="20"/>
      <c r="CT153" s="20"/>
      <c r="CU153" s="20"/>
      <c r="CV153" s="20"/>
      <c r="CW153" s="20"/>
      <c r="CX153" s="20"/>
      <c r="CY153" s="20"/>
      <c r="CZ153" s="20"/>
      <c r="DA153" s="20"/>
      <c r="DB153" s="20"/>
      <c r="DC153" s="20"/>
      <c r="DD153" s="20"/>
      <c r="DE153" s="20"/>
      <c r="DF153" s="20"/>
      <c r="DG153" s="20"/>
      <c r="DH153" s="20"/>
      <c r="DI153" s="20"/>
      <c r="DJ153" s="20"/>
      <c r="DK153" s="20"/>
      <c r="DL153" s="20"/>
      <c r="DM153" s="20"/>
      <c r="DN153" s="20"/>
      <c r="DO153" s="20"/>
      <c r="DP153" s="20"/>
      <c r="DQ153" s="20"/>
      <c r="DR153" s="20"/>
      <c r="DS153" s="20"/>
      <c r="DT153" s="20"/>
      <c r="DU153" s="20"/>
      <c r="DV153" s="20"/>
      <c r="DW153" s="20"/>
      <c r="DX153" s="20"/>
      <c r="DY153" s="20"/>
      <c r="DZ153" s="20"/>
      <c r="EA153" s="20"/>
      <c r="EB153" s="20"/>
      <c r="EC153" s="20"/>
      <c r="ED153" s="20"/>
      <c r="EE153" s="20"/>
      <c r="EF153" s="20"/>
      <c r="EG153" s="20"/>
      <c r="EH153" s="20"/>
      <c r="EI153" s="20"/>
      <c r="EJ153" s="20"/>
      <c r="EK153" s="20"/>
      <c r="EL153" s="20"/>
      <c r="EM153" s="20"/>
      <c r="EN153" s="20"/>
      <c r="EO153" s="20"/>
      <c r="EP153" s="20"/>
      <c r="EQ153" s="20"/>
      <c r="ER153" s="20"/>
      <c r="ES153" s="20"/>
      <c r="ET153" s="20"/>
      <c r="EU153" s="20"/>
      <c r="EV153" s="20"/>
      <c r="EW153" s="20"/>
      <c r="EX153" s="20"/>
      <c r="EY153" s="20"/>
      <c r="EZ153" s="20"/>
      <c r="FA153" s="20"/>
      <c r="FB153" s="20"/>
      <c r="FC153" s="20"/>
      <c r="FD153" s="20"/>
      <c r="FE153" s="20"/>
      <c r="FF153" s="20"/>
      <c r="FG153" s="20"/>
      <c r="FH153" s="20"/>
      <c r="FI153" s="20"/>
      <c r="FJ153" s="20"/>
      <c r="FK153" s="20"/>
      <c r="FL153" s="20"/>
      <c r="FM153" s="20"/>
      <c r="FN153" s="20"/>
      <c r="FO153" s="20"/>
      <c r="FP153" s="20"/>
      <c r="FQ153" s="20"/>
      <c r="FR153" s="20"/>
      <c r="FS153" s="20"/>
      <c r="FT153" s="20"/>
      <c r="FU153" s="20"/>
      <c r="FV153" s="20"/>
      <c r="FW153" s="20"/>
      <c r="FX153" s="20"/>
      <c r="FY153" s="20"/>
      <c r="FZ153" s="20"/>
      <c r="GA153" s="20"/>
      <c r="GB153" s="20"/>
      <c r="GC153" s="20"/>
      <c r="GD153" s="20"/>
      <c r="GE153" s="20"/>
      <c r="GF153" s="20"/>
      <c r="GG153" s="20"/>
      <c r="GH153" s="20"/>
      <c r="GI153" s="20"/>
      <c r="GJ153" s="20"/>
      <c r="GK153" s="20"/>
    </row>
    <row r="154" spans="1:193" ht="18" customHeight="1">
      <c r="A154" s="9" t="str">
        <f t="shared" si="4"/>
        <v/>
      </c>
      <c r="B154" s="10"/>
      <c r="C154" s="11"/>
      <c r="D154" s="10"/>
      <c r="E154" s="11"/>
      <c r="F154" s="11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4"/>
      <c r="BB154" s="14"/>
      <c r="BC154" s="15"/>
      <c r="BD154" s="15"/>
      <c r="BE154" s="15"/>
      <c r="BF154" s="15"/>
      <c r="BG154" s="15"/>
      <c r="BH154" s="15"/>
      <c r="BI154" s="15"/>
      <c r="BJ154" s="15"/>
      <c r="BK154" s="15"/>
      <c r="BL154" s="15"/>
      <c r="BM154" s="15"/>
      <c r="BN154" s="15"/>
      <c r="BO154" s="15"/>
      <c r="BP154" s="15"/>
      <c r="BQ154" s="15"/>
      <c r="BR154" s="15"/>
      <c r="BS154" s="12"/>
      <c r="BT154" s="12"/>
      <c r="BU154" s="12"/>
      <c r="BV154" s="12"/>
      <c r="BW154" s="12"/>
      <c r="BX154" s="12"/>
      <c r="BY154" s="12"/>
      <c r="BZ154" s="12"/>
      <c r="CA154" s="12"/>
      <c r="CB154" s="12"/>
      <c r="CC154" s="12"/>
      <c r="CD154" s="12"/>
      <c r="CE154" s="12"/>
      <c r="CF154" s="12"/>
      <c r="CG154" s="12"/>
      <c r="CH154" s="12"/>
      <c r="CI154" s="12"/>
      <c r="CJ154" s="12"/>
      <c r="CK154" s="12"/>
      <c r="CL154" s="12"/>
      <c r="CM154" s="15"/>
      <c r="CN154" s="15"/>
      <c r="CO154" s="15"/>
      <c r="CP154" s="15"/>
      <c r="CQ154" s="15"/>
      <c r="CR154" s="15"/>
      <c r="CS154" s="15"/>
      <c r="CT154" s="15"/>
      <c r="CU154" s="15"/>
      <c r="CV154" s="15"/>
      <c r="CW154" s="15"/>
      <c r="CX154" s="15"/>
      <c r="CY154" s="15"/>
      <c r="CZ154" s="15"/>
      <c r="DA154" s="15"/>
      <c r="DB154" s="15"/>
      <c r="DC154" s="15"/>
      <c r="DD154" s="15"/>
      <c r="DE154" s="15"/>
      <c r="DF154" s="15"/>
      <c r="DG154" s="14"/>
      <c r="DH154" s="14"/>
      <c r="DI154" s="14"/>
      <c r="DJ154" s="14"/>
      <c r="DK154" s="14"/>
      <c r="DL154" s="14"/>
      <c r="DM154" s="14"/>
      <c r="DN154" s="14"/>
      <c r="DO154" s="14"/>
      <c r="DP154" s="14"/>
      <c r="DQ154" s="14"/>
      <c r="DR154" s="14"/>
      <c r="DS154" s="14"/>
      <c r="DT154" s="14"/>
      <c r="DU154" s="14"/>
      <c r="DV154" s="14"/>
      <c r="DW154" s="14"/>
      <c r="DX154" s="14"/>
      <c r="DY154" s="14"/>
      <c r="DZ154" s="14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6"/>
      <c r="EV154" s="16"/>
      <c r="EW154" s="16"/>
      <c r="EX154" s="16"/>
      <c r="EY154" s="16"/>
      <c r="EZ154" s="16"/>
      <c r="FA154" s="16"/>
      <c r="FB154" s="16"/>
      <c r="FC154" s="16"/>
      <c r="FD154" s="16"/>
      <c r="FE154" s="16"/>
      <c r="FF154" s="16"/>
      <c r="FG154" s="16"/>
      <c r="FH154" s="16"/>
      <c r="FI154" s="16"/>
      <c r="FJ154" s="16"/>
      <c r="FK154" s="16"/>
      <c r="FL154" s="16"/>
      <c r="FM154" s="16"/>
      <c r="FN154" s="16"/>
      <c r="FO154" s="17"/>
      <c r="FP154" s="17"/>
      <c r="FQ154" s="17"/>
      <c r="FR154" s="17"/>
      <c r="FS154" s="17"/>
      <c r="FT154" s="17"/>
      <c r="FU154" s="17"/>
      <c r="FV154" s="17"/>
      <c r="FW154" s="17"/>
      <c r="FX154" s="17"/>
      <c r="FY154" s="17"/>
      <c r="FZ154" s="17"/>
      <c r="GA154" s="17"/>
      <c r="GB154" s="17"/>
      <c r="GC154" s="17"/>
      <c r="GD154" s="13"/>
      <c r="GE154" s="13"/>
      <c r="GF154" s="13"/>
      <c r="GG154" s="13"/>
      <c r="GH154" s="13"/>
      <c r="GI154" s="13"/>
      <c r="GJ154" s="13"/>
      <c r="GK154" s="13"/>
    </row>
    <row r="155" spans="1:193" ht="18" customHeight="1">
      <c r="A155" s="18" t="str">
        <f t="shared" si="4"/>
        <v/>
      </c>
      <c r="B155" s="19"/>
      <c r="C155" s="20"/>
      <c r="D155" s="19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20"/>
      <c r="BJ155" s="20"/>
      <c r="BK155" s="20"/>
      <c r="BL155" s="20"/>
      <c r="BM155" s="20"/>
      <c r="BN155" s="20"/>
      <c r="BO155" s="20"/>
      <c r="BP155" s="20"/>
      <c r="BQ155" s="20"/>
      <c r="BR155" s="20"/>
      <c r="BS155" s="20"/>
      <c r="BT155" s="20"/>
      <c r="BU155" s="20"/>
      <c r="BV155" s="20"/>
      <c r="BW155" s="20"/>
      <c r="BX155" s="20"/>
      <c r="BY155" s="20"/>
      <c r="BZ155" s="20"/>
      <c r="CA155" s="20"/>
      <c r="CB155" s="20"/>
      <c r="CC155" s="20"/>
      <c r="CD155" s="20"/>
      <c r="CE155" s="20"/>
      <c r="CF155" s="20"/>
      <c r="CG155" s="20"/>
      <c r="CH155" s="20"/>
      <c r="CI155" s="20"/>
      <c r="CJ155" s="20"/>
      <c r="CK155" s="20"/>
      <c r="CL155" s="20"/>
      <c r="CM155" s="20"/>
      <c r="CN155" s="20"/>
      <c r="CO155" s="20"/>
      <c r="CP155" s="20"/>
      <c r="CQ155" s="20"/>
      <c r="CR155" s="20"/>
      <c r="CS155" s="20"/>
      <c r="CT155" s="20"/>
      <c r="CU155" s="20"/>
      <c r="CV155" s="20"/>
      <c r="CW155" s="20"/>
      <c r="CX155" s="20"/>
      <c r="CY155" s="20"/>
      <c r="CZ155" s="20"/>
      <c r="DA155" s="20"/>
      <c r="DB155" s="20"/>
      <c r="DC155" s="20"/>
      <c r="DD155" s="20"/>
      <c r="DE155" s="20"/>
      <c r="DF155" s="20"/>
      <c r="DG155" s="20"/>
      <c r="DH155" s="20"/>
      <c r="DI155" s="20"/>
      <c r="DJ155" s="20"/>
      <c r="DK155" s="20"/>
      <c r="DL155" s="20"/>
      <c r="DM155" s="20"/>
      <c r="DN155" s="20"/>
      <c r="DO155" s="20"/>
      <c r="DP155" s="20"/>
      <c r="DQ155" s="20"/>
      <c r="DR155" s="20"/>
      <c r="DS155" s="20"/>
      <c r="DT155" s="20"/>
      <c r="DU155" s="20"/>
      <c r="DV155" s="20"/>
      <c r="DW155" s="20"/>
      <c r="DX155" s="20"/>
      <c r="DY155" s="20"/>
      <c r="DZ155" s="20"/>
      <c r="EA155" s="20"/>
      <c r="EB155" s="20"/>
      <c r="EC155" s="20"/>
      <c r="ED155" s="20"/>
      <c r="EE155" s="20"/>
      <c r="EF155" s="20"/>
      <c r="EG155" s="20"/>
      <c r="EH155" s="20"/>
      <c r="EI155" s="20"/>
      <c r="EJ155" s="20"/>
      <c r="EK155" s="20"/>
      <c r="EL155" s="20"/>
      <c r="EM155" s="20"/>
      <c r="EN155" s="20"/>
      <c r="EO155" s="20"/>
      <c r="EP155" s="20"/>
      <c r="EQ155" s="20"/>
      <c r="ER155" s="20"/>
      <c r="ES155" s="20"/>
      <c r="ET155" s="20"/>
      <c r="EU155" s="20"/>
      <c r="EV155" s="20"/>
      <c r="EW155" s="20"/>
      <c r="EX155" s="20"/>
      <c r="EY155" s="20"/>
      <c r="EZ155" s="20"/>
      <c r="FA155" s="20"/>
      <c r="FB155" s="20"/>
      <c r="FC155" s="20"/>
      <c r="FD155" s="20"/>
      <c r="FE155" s="20"/>
      <c r="FF155" s="20"/>
      <c r="FG155" s="20"/>
      <c r="FH155" s="20"/>
      <c r="FI155" s="20"/>
      <c r="FJ155" s="20"/>
      <c r="FK155" s="20"/>
      <c r="FL155" s="20"/>
      <c r="FM155" s="20"/>
      <c r="FN155" s="20"/>
      <c r="FO155" s="20"/>
      <c r="FP155" s="20"/>
      <c r="FQ155" s="20"/>
      <c r="FR155" s="20"/>
      <c r="FS155" s="20"/>
      <c r="FT155" s="20"/>
      <c r="FU155" s="20"/>
      <c r="FV155" s="20"/>
      <c r="FW155" s="20"/>
      <c r="FX155" s="20"/>
      <c r="FY155" s="20"/>
      <c r="FZ155" s="20"/>
      <c r="GA155" s="20"/>
      <c r="GB155" s="20"/>
      <c r="GC155" s="20"/>
      <c r="GD155" s="20"/>
      <c r="GE155" s="20"/>
      <c r="GF155" s="20"/>
      <c r="GG155" s="20"/>
      <c r="GH155" s="20"/>
      <c r="GI155" s="20"/>
      <c r="GJ155" s="20"/>
      <c r="GK155" s="20"/>
    </row>
    <row r="156" spans="1:193" ht="18" customHeight="1">
      <c r="A156" s="9" t="str">
        <f t="shared" si="4"/>
        <v/>
      </c>
      <c r="B156" s="10"/>
      <c r="C156" s="11"/>
      <c r="D156" s="10"/>
      <c r="E156" s="11"/>
      <c r="F156" s="11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  <c r="BC156" s="15"/>
      <c r="BD156" s="15"/>
      <c r="BE156" s="15"/>
      <c r="BF156" s="15"/>
      <c r="BG156" s="15"/>
      <c r="BH156" s="15"/>
      <c r="BI156" s="15"/>
      <c r="BJ156" s="15"/>
      <c r="BK156" s="15"/>
      <c r="BL156" s="15"/>
      <c r="BM156" s="15"/>
      <c r="BN156" s="15"/>
      <c r="BO156" s="15"/>
      <c r="BP156" s="15"/>
      <c r="BQ156" s="15"/>
      <c r="BR156" s="15"/>
      <c r="BS156" s="12"/>
      <c r="BT156" s="12"/>
      <c r="BU156" s="12"/>
      <c r="BV156" s="12"/>
      <c r="BW156" s="12"/>
      <c r="BX156" s="12"/>
      <c r="BY156" s="12"/>
      <c r="BZ156" s="12"/>
      <c r="CA156" s="12"/>
      <c r="CB156" s="12"/>
      <c r="CC156" s="12"/>
      <c r="CD156" s="12"/>
      <c r="CE156" s="12"/>
      <c r="CF156" s="12"/>
      <c r="CG156" s="12"/>
      <c r="CH156" s="12"/>
      <c r="CI156" s="12"/>
      <c r="CJ156" s="12"/>
      <c r="CK156" s="12"/>
      <c r="CL156" s="12"/>
      <c r="CM156" s="15"/>
      <c r="CN156" s="15"/>
      <c r="CO156" s="15"/>
      <c r="CP156" s="15"/>
      <c r="CQ156" s="15"/>
      <c r="CR156" s="15"/>
      <c r="CS156" s="15"/>
      <c r="CT156" s="15"/>
      <c r="CU156" s="15"/>
      <c r="CV156" s="15"/>
      <c r="CW156" s="15"/>
      <c r="CX156" s="15"/>
      <c r="CY156" s="15"/>
      <c r="CZ156" s="15"/>
      <c r="DA156" s="15"/>
      <c r="DB156" s="15"/>
      <c r="DC156" s="15"/>
      <c r="DD156" s="15"/>
      <c r="DE156" s="15"/>
      <c r="DF156" s="15"/>
      <c r="DG156" s="14"/>
      <c r="DH156" s="14"/>
      <c r="DI156" s="14"/>
      <c r="DJ156" s="14"/>
      <c r="DK156" s="14"/>
      <c r="DL156" s="14"/>
      <c r="DM156" s="14"/>
      <c r="DN156" s="14"/>
      <c r="DO156" s="14"/>
      <c r="DP156" s="14"/>
      <c r="DQ156" s="14"/>
      <c r="DR156" s="14"/>
      <c r="DS156" s="14"/>
      <c r="DT156" s="14"/>
      <c r="DU156" s="14"/>
      <c r="DV156" s="14"/>
      <c r="DW156" s="14"/>
      <c r="DX156" s="14"/>
      <c r="DY156" s="14"/>
      <c r="DZ156" s="14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6"/>
      <c r="EV156" s="16"/>
      <c r="EW156" s="16"/>
      <c r="EX156" s="16"/>
      <c r="EY156" s="16"/>
      <c r="EZ156" s="16"/>
      <c r="FA156" s="16"/>
      <c r="FB156" s="16"/>
      <c r="FC156" s="16"/>
      <c r="FD156" s="16"/>
      <c r="FE156" s="16"/>
      <c r="FF156" s="16"/>
      <c r="FG156" s="16"/>
      <c r="FH156" s="16"/>
      <c r="FI156" s="16"/>
      <c r="FJ156" s="16"/>
      <c r="FK156" s="16"/>
      <c r="FL156" s="16"/>
      <c r="FM156" s="16"/>
      <c r="FN156" s="16"/>
      <c r="FO156" s="17"/>
      <c r="FP156" s="17"/>
      <c r="FQ156" s="17"/>
      <c r="FR156" s="17"/>
      <c r="FS156" s="17"/>
      <c r="FT156" s="17"/>
      <c r="FU156" s="17"/>
      <c r="FV156" s="17"/>
      <c r="FW156" s="17"/>
      <c r="FX156" s="17"/>
      <c r="FY156" s="17"/>
      <c r="FZ156" s="17"/>
      <c r="GA156" s="17"/>
      <c r="GB156" s="17"/>
      <c r="GC156" s="17"/>
      <c r="GD156" s="13"/>
      <c r="GE156" s="13"/>
      <c r="GF156" s="13"/>
      <c r="GG156" s="13"/>
      <c r="GH156" s="13"/>
      <c r="GI156" s="13"/>
      <c r="GJ156" s="13"/>
      <c r="GK156" s="13"/>
    </row>
    <row r="157" spans="1:193" ht="18" customHeight="1">
      <c r="A157" s="18" t="str">
        <f t="shared" si="4"/>
        <v/>
      </c>
      <c r="B157" s="19"/>
      <c r="C157" s="20"/>
      <c r="D157" s="19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  <c r="BJ157" s="20"/>
      <c r="BK157" s="20"/>
      <c r="BL157" s="20"/>
      <c r="BM157" s="20"/>
      <c r="BN157" s="20"/>
      <c r="BO157" s="20"/>
      <c r="BP157" s="20"/>
      <c r="BQ157" s="20"/>
      <c r="BR157" s="20"/>
      <c r="BS157" s="20"/>
      <c r="BT157" s="20"/>
      <c r="BU157" s="20"/>
      <c r="BV157" s="20"/>
      <c r="BW157" s="20"/>
      <c r="BX157" s="20"/>
      <c r="BY157" s="20"/>
      <c r="BZ157" s="20"/>
      <c r="CA157" s="20"/>
      <c r="CB157" s="20"/>
      <c r="CC157" s="20"/>
      <c r="CD157" s="20"/>
      <c r="CE157" s="20"/>
      <c r="CF157" s="20"/>
      <c r="CG157" s="20"/>
      <c r="CH157" s="20"/>
      <c r="CI157" s="20"/>
      <c r="CJ157" s="20"/>
      <c r="CK157" s="20"/>
      <c r="CL157" s="20"/>
      <c r="CM157" s="20"/>
      <c r="CN157" s="20"/>
      <c r="CO157" s="20"/>
      <c r="CP157" s="20"/>
      <c r="CQ157" s="20"/>
      <c r="CR157" s="20"/>
      <c r="CS157" s="20"/>
      <c r="CT157" s="20"/>
      <c r="CU157" s="20"/>
      <c r="CV157" s="20"/>
      <c r="CW157" s="20"/>
      <c r="CX157" s="20"/>
      <c r="CY157" s="20"/>
      <c r="CZ157" s="20"/>
      <c r="DA157" s="20"/>
      <c r="DB157" s="20"/>
      <c r="DC157" s="20"/>
      <c r="DD157" s="20"/>
      <c r="DE157" s="20"/>
      <c r="DF157" s="20"/>
      <c r="DG157" s="20"/>
      <c r="DH157" s="20"/>
      <c r="DI157" s="20"/>
      <c r="DJ157" s="20"/>
      <c r="DK157" s="20"/>
      <c r="DL157" s="20"/>
      <c r="DM157" s="20"/>
      <c r="DN157" s="20"/>
      <c r="DO157" s="20"/>
      <c r="DP157" s="20"/>
      <c r="DQ157" s="20"/>
      <c r="DR157" s="20"/>
      <c r="DS157" s="20"/>
      <c r="DT157" s="20"/>
      <c r="DU157" s="20"/>
      <c r="DV157" s="20"/>
      <c r="DW157" s="20"/>
      <c r="DX157" s="20"/>
      <c r="DY157" s="20"/>
      <c r="DZ157" s="20"/>
      <c r="EA157" s="20"/>
      <c r="EB157" s="20"/>
      <c r="EC157" s="20"/>
      <c r="ED157" s="20"/>
      <c r="EE157" s="20"/>
      <c r="EF157" s="20"/>
      <c r="EG157" s="20"/>
      <c r="EH157" s="20"/>
      <c r="EI157" s="20"/>
      <c r="EJ157" s="20"/>
      <c r="EK157" s="20"/>
      <c r="EL157" s="20"/>
      <c r="EM157" s="20"/>
      <c r="EN157" s="20"/>
      <c r="EO157" s="20"/>
      <c r="EP157" s="20"/>
      <c r="EQ157" s="20"/>
      <c r="ER157" s="20"/>
      <c r="ES157" s="20"/>
      <c r="ET157" s="20"/>
      <c r="EU157" s="20"/>
      <c r="EV157" s="20"/>
      <c r="EW157" s="20"/>
      <c r="EX157" s="20"/>
      <c r="EY157" s="20"/>
      <c r="EZ157" s="20"/>
      <c r="FA157" s="20"/>
      <c r="FB157" s="20"/>
      <c r="FC157" s="20"/>
      <c r="FD157" s="20"/>
      <c r="FE157" s="20"/>
      <c r="FF157" s="20"/>
      <c r="FG157" s="20"/>
      <c r="FH157" s="20"/>
      <c r="FI157" s="20"/>
      <c r="FJ157" s="20"/>
      <c r="FK157" s="20"/>
      <c r="FL157" s="20"/>
      <c r="FM157" s="20"/>
      <c r="FN157" s="20"/>
      <c r="FO157" s="20"/>
      <c r="FP157" s="20"/>
      <c r="FQ157" s="20"/>
      <c r="FR157" s="20"/>
      <c r="FS157" s="20"/>
      <c r="FT157" s="20"/>
      <c r="FU157" s="20"/>
      <c r="FV157" s="20"/>
      <c r="FW157" s="20"/>
      <c r="FX157" s="20"/>
      <c r="FY157" s="20"/>
      <c r="FZ157" s="20"/>
      <c r="GA157" s="20"/>
      <c r="GB157" s="20"/>
      <c r="GC157" s="20"/>
      <c r="GD157" s="20"/>
      <c r="GE157" s="20"/>
      <c r="GF157" s="20"/>
      <c r="GG157" s="20"/>
      <c r="GH157" s="20"/>
      <c r="GI157" s="20"/>
      <c r="GJ157" s="20"/>
      <c r="GK157" s="20"/>
    </row>
    <row r="158" spans="1:193" ht="18" customHeight="1">
      <c r="A158" s="9" t="str">
        <f t="shared" si="4"/>
        <v/>
      </c>
      <c r="B158" s="10"/>
      <c r="C158" s="11"/>
      <c r="D158" s="10"/>
      <c r="E158" s="11"/>
      <c r="F158" s="11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  <c r="BC158" s="15"/>
      <c r="BD158" s="15"/>
      <c r="BE158" s="15"/>
      <c r="BF158" s="15"/>
      <c r="BG158" s="15"/>
      <c r="BH158" s="15"/>
      <c r="BI158" s="15"/>
      <c r="BJ158" s="15"/>
      <c r="BK158" s="15"/>
      <c r="BL158" s="15"/>
      <c r="BM158" s="15"/>
      <c r="BN158" s="15"/>
      <c r="BO158" s="15"/>
      <c r="BP158" s="15"/>
      <c r="BQ158" s="15"/>
      <c r="BR158" s="15"/>
      <c r="BS158" s="12"/>
      <c r="BT158" s="12"/>
      <c r="BU158" s="12"/>
      <c r="BV158" s="12"/>
      <c r="BW158" s="12"/>
      <c r="BX158" s="12"/>
      <c r="BY158" s="12"/>
      <c r="BZ158" s="12"/>
      <c r="CA158" s="12"/>
      <c r="CB158" s="12"/>
      <c r="CC158" s="12"/>
      <c r="CD158" s="12"/>
      <c r="CE158" s="12"/>
      <c r="CF158" s="12"/>
      <c r="CG158" s="12"/>
      <c r="CH158" s="12"/>
      <c r="CI158" s="12"/>
      <c r="CJ158" s="12"/>
      <c r="CK158" s="12"/>
      <c r="CL158" s="12"/>
      <c r="CM158" s="15"/>
      <c r="CN158" s="15"/>
      <c r="CO158" s="15"/>
      <c r="CP158" s="15"/>
      <c r="CQ158" s="15"/>
      <c r="CR158" s="15"/>
      <c r="CS158" s="15"/>
      <c r="CT158" s="15"/>
      <c r="CU158" s="15"/>
      <c r="CV158" s="15"/>
      <c r="CW158" s="15"/>
      <c r="CX158" s="15"/>
      <c r="CY158" s="15"/>
      <c r="CZ158" s="15"/>
      <c r="DA158" s="15"/>
      <c r="DB158" s="15"/>
      <c r="DC158" s="15"/>
      <c r="DD158" s="15"/>
      <c r="DE158" s="15"/>
      <c r="DF158" s="15"/>
      <c r="DG158" s="14"/>
      <c r="DH158" s="14"/>
      <c r="DI158" s="14"/>
      <c r="DJ158" s="14"/>
      <c r="DK158" s="14"/>
      <c r="DL158" s="14"/>
      <c r="DM158" s="14"/>
      <c r="DN158" s="14"/>
      <c r="DO158" s="14"/>
      <c r="DP158" s="14"/>
      <c r="DQ158" s="14"/>
      <c r="DR158" s="14"/>
      <c r="DS158" s="14"/>
      <c r="DT158" s="14"/>
      <c r="DU158" s="14"/>
      <c r="DV158" s="14"/>
      <c r="DW158" s="14"/>
      <c r="DX158" s="14"/>
      <c r="DY158" s="14"/>
      <c r="DZ158" s="14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6"/>
      <c r="EV158" s="16"/>
      <c r="EW158" s="16"/>
      <c r="EX158" s="16"/>
      <c r="EY158" s="16"/>
      <c r="EZ158" s="16"/>
      <c r="FA158" s="16"/>
      <c r="FB158" s="16"/>
      <c r="FC158" s="16"/>
      <c r="FD158" s="16"/>
      <c r="FE158" s="16"/>
      <c r="FF158" s="16"/>
      <c r="FG158" s="16"/>
      <c r="FH158" s="16"/>
      <c r="FI158" s="16"/>
      <c r="FJ158" s="16"/>
      <c r="FK158" s="16"/>
      <c r="FL158" s="16"/>
      <c r="FM158" s="16"/>
      <c r="FN158" s="16"/>
      <c r="FO158" s="17"/>
      <c r="FP158" s="17"/>
      <c r="FQ158" s="17"/>
      <c r="FR158" s="17"/>
      <c r="FS158" s="17"/>
      <c r="FT158" s="17"/>
      <c r="FU158" s="17"/>
      <c r="FV158" s="17"/>
      <c r="FW158" s="17"/>
      <c r="FX158" s="17"/>
      <c r="FY158" s="17"/>
      <c r="FZ158" s="17"/>
      <c r="GA158" s="17"/>
      <c r="GB158" s="17"/>
      <c r="GC158" s="17"/>
      <c r="GD158" s="13"/>
      <c r="GE158" s="13"/>
      <c r="GF158" s="13"/>
      <c r="GG158" s="13"/>
      <c r="GH158" s="13"/>
      <c r="GI158" s="13"/>
      <c r="GJ158" s="13"/>
      <c r="GK158" s="13"/>
    </row>
    <row r="159" spans="1:193" ht="18" customHeight="1">
      <c r="A159" s="18" t="str">
        <f t="shared" si="4"/>
        <v/>
      </c>
      <c r="B159" s="19"/>
      <c r="C159" s="20"/>
      <c r="D159" s="19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  <c r="BJ159" s="20"/>
      <c r="BK159" s="20"/>
      <c r="BL159" s="20"/>
      <c r="BM159" s="20"/>
      <c r="BN159" s="20"/>
      <c r="BO159" s="20"/>
      <c r="BP159" s="20"/>
      <c r="BQ159" s="20"/>
      <c r="BR159" s="20"/>
      <c r="BS159" s="20"/>
      <c r="BT159" s="20"/>
      <c r="BU159" s="20"/>
      <c r="BV159" s="20"/>
      <c r="BW159" s="20"/>
      <c r="BX159" s="20"/>
      <c r="BY159" s="20"/>
      <c r="BZ159" s="20"/>
      <c r="CA159" s="20"/>
      <c r="CB159" s="20"/>
      <c r="CC159" s="20"/>
      <c r="CD159" s="20"/>
      <c r="CE159" s="20"/>
      <c r="CF159" s="20"/>
      <c r="CG159" s="20"/>
      <c r="CH159" s="20"/>
      <c r="CI159" s="20"/>
      <c r="CJ159" s="20"/>
      <c r="CK159" s="20"/>
      <c r="CL159" s="20"/>
      <c r="CM159" s="20"/>
      <c r="CN159" s="20"/>
      <c r="CO159" s="20"/>
      <c r="CP159" s="20"/>
      <c r="CQ159" s="20"/>
      <c r="CR159" s="20"/>
      <c r="CS159" s="20"/>
      <c r="CT159" s="20"/>
      <c r="CU159" s="20"/>
      <c r="CV159" s="20"/>
      <c r="CW159" s="20"/>
      <c r="CX159" s="20"/>
      <c r="CY159" s="20"/>
      <c r="CZ159" s="20"/>
      <c r="DA159" s="20"/>
      <c r="DB159" s="20"/>
      <c r="DC159" s="20"/>
      <c r="DD159" s="20"/>
      <c r="DE159" s="20"/>
      <c r="DF159" s="20"/>
      <c r="DG159" s="20"/>
      <c r="DH159" s="20"/>
      <c r="DI159" s="20"/>
      <c r="DJ159" s="20"/>
      <c r="DK159" s="20"/>
      <c r="DL159" s="20"/>
      <c r="DM159" s="20"/>
      <c r="DN159" s="20"/>
      <c r="DO159" s="20"/>
      <c r="DP159" s="20"/>
      <c r="DQ159" s="20"/>
      <c r="DR159" s="20"/>
      <c r="DS159" s="20"/>
      <c r="DT159" s="20"/>
      <c r="DU159" s="20"/>
      <c r="DV159" s="20"/>
      <c r="DW159" s="20"/>
      <c r="DX159" s="20"/>
      <c r="DY159" s="20"/>
      <c r="DZ159" s="20"/>
      <c r="EA159" s="20"/>
      <c r="EB159" s="20"/>
      <c r="EC159" s="20"/>
      <c r="ED159" s="20"/>
      <c r="EE159" s="20"/>
      <c r="EF159" s="20"/>
      <c r="EG159" s="20"/>
      <c r="EH159" s="20"/>
      <c r="EI159" s="20"/>
      <c r="EJ159" s="20"/>
      <c r="EK159" s="20"/>
      <c r="EL159" s="20"/>
      <c r="EM159" s="20"/>
      <c r="EN159" s="20"/>
      <c r="EO159" s="20"/>
      <c r="EP159" s="20"/>
      <c r="EQ159" s="20"/>
      <c r="ER159" s="20"/>
      <c r="ES159" s="20"/>
      <c r="ET159" s="20"/>
      <c r="EU159" s="20"/>
      <c r="EV159" s="20"/>
      <c r="EW159" s="20"/>
      <c r="EX159" s="20"/>
      <c r="EY159" s="20"/>
      <c r="EZ159" s="20"/>
      <c r="FA159" s="20"/>
      <c r="FB159" s="20"/>
      <c r="FC159" s="20"/>
      <c r="FD159" s="20"/>
      <c r="FE159" s="20"/>
      <c r="FF159" s="20"/>
      <c r="FG159" s="20"/>
      <c r="FH159" s="20"/>
      <c r="FI159" s="20"/>
      <c r="FJ159" s="20"/>
      <c r="FK159" s="20"/>
      <c r="FL159" s="20"/>
      <c r="FM159" s="20"/>
      <c r="FN159" s="20"/>
      <c r="FO159" s="20"/>
      <c r="FP159" s="20"/>
      <c r="FQ159" s="20"/>
      <c r="FR159" s="20"/>
      <c r="FS159" s="20"/>
      <c r="FT159" s="20"/>
      <c r="FU159" s="20"/>
      <c r="FV159" s="20"/>
      <c r="FW159" s="20"/>
      <c r="FX159" s="20"/>
      <c r="FY159" s="20"/>
      <c r="FZ159" s="20"/>
      <c r="GA159" s="20"/>
      <c r="GB159" s="20"/>
      <c r="GC159" s="20"/>
      <c r="GD159" s="20"/>
      <c r="GE159" s="20"/>
      <c r="GF159" s="20"/>
      <c r="GG159" s="20"/>
      <c r="GH159" s="20"/>
      <c r="GI159" s="20"/>
      <c r="GJ159" s="20"/>
      <c r="GK159" s="20"/>
    </row>
    <row r="160" spans="1:193" ht="18" customHeight="1">
      <c r="A160" s="9" t="str">
        <f t="shared" si="4"/>
        <v/>
      </c>
      <c r="B160" s="10"/>
      <c r="C160" s="11"/>
      <c r="D160" s="10"/>
      <c r="E160" s="11"/>
      <c r="F160" s="11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4"/>
      <c r="BB160" s="14"/>
      <c r="BC160" s="15"/>
      <c r="BD160" s="15"/>
      <c r="BE160" s="15"/>
      <c r="BF160" s="15"/>
      <c r="BG160" s="15"/>
      <c r="BH160" s="15"/>
      <c r="BI160" s="15"/>
      <c r="BJ160" s="15"/>
      <c r="BK160" s="15"/>
      <c r="BL160" s="15"/>
      <c r="BM160" s="15"/>
      <c r="BN160" s="15"/>
      <c r="BO160" s="15"/>
      <c r="BP160" s="15"/>
      <c r="BQ160" s="15"/>
      <c r="BR160" s="15"/>
      <c r="BS160" s="12"/>
      <c r="BT160" s="12"/>
      <c r="BU160" s="12"/>
      <c r="BV160" s="12"/>
      <c r="BW160" s="12"/>
      <c r="BX160" s="12"/>
      <c r="BY160" s="12"/>
      <c r="BZ160" s="12"/>
      <c r="CA160" s="12"/>
      <c r="CB160" s="12"/>
      <c r="CC160" s="12"/>
      <c r="CD160" s="12"/>
      <c r="CE160" s="12"/>
      <c r="CF160" s="12"/>
      <c r="CG160" s="12"/>
      <c r="CH160" s="12"/>
      <c r="CI160" s="12"/>
      <c r="CJ160" s="12"/>
      <c r="CK160" s="12"/>
      <c r="CL160" s="12"/>
      <c r="CM160" s="15"/>
      <c r="CN160" s="15"/>
      <c r="CO160" s="15"/>
      <c r="CP160" s="15"/>
      <c r="CQ160" s="15"/>
      <c r="CR160" s="15"/>
      <c r="CS160" s="15"/>
      <c r="CT160" s="15"/>
      <c r="CU160" s="15"/>
      <c r="CV160" s="15"/>
      <c r="CW160" s="15"/>
      <c r="CX160" s="15"/>
      <c r="CY160" s="15"/>
      <c r="CZ160" s="15"/>
      <c r="DA160" s="15"/>
      <c r="DB160" s="15"/>
      <c r="DC160" s="15"/>
      <c r="DD160" s="15"/>
      <c r="DE160" s="15"/>
      <c r="DF160" s="15"/>
      <c r="DG160" s="14"/>
      <c r="DH160" s="14"/>
      <c r="DI160" s="14"/>
      <c r="DJ160" s="14"/>
      <c r="DK160" s="14"/>
      <c r="DL160" s="14"/>
      <c r="DM160" s="14"/>
      <c r="DN160" s="14"/>
      <c r="DO160" s="14"/>
      <c r="DP160" s="14"/>
      <c r="DQ160" s="14"/>
      <c r="DR160" s="14"/>
      <c r="DS160" s="14"/>
      <c r="DT160" s="14"/>
      <c r="DU160" s="14"/>
      <c r="DV160" s="14"/>
      <c r="DW160" s="14"/>
      <c r="DX160" s="14"/>
      <c r="DY160" s="14"/>
      <c r="DZ160" s="14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6"/>
      <c r="EV160" s="16"/>
      <c r="EW160" s="16"/>
      <c r="EX160" s="16"/>
      <c r="EY160" s="16"/>
      <c r="EZ160" s="16"/>
      <c r="FA160" s="16"/>
      <c r="FB160" s="16"/>
      <c r="FC160" s="16"/>
      <c r="FD160" s="16"/>
      <c r="FE160" s="16"/>
      <c r="FF160" s="16"/>
      <c r="FG160" s="16"/>
      <c r="FH160" s="16"/>
      <c r="FI160" s="16"/>
      <c r="FJ160" s="16"/>
      <c r="FK160" s="16"/>
      <c r="FL160" s="16"/>
      <c r="FM160" s="16"/>
      <c r="FN160" s="16"/>
      <c r="FO160" s="17"/>
      <c r="FP160" s="17"/>
      <c r="FQ160" s="17"/>
      <c r="FR160" s="17"/>
      <c r="FS160" s="17"/>
      <c r="FT160" s="17"/>
      <c r="FU160" s="17"/>
      <c r="FV160" s="17"/>
      <c r="FW160" s="17"/>
      <c r="FX160" s="17"/>
      <c r="FY160" s="17"/>
      <c r="FZ160" s="17"/>
      <c r="GA160" s="17"/>
      <c r="GB160" s="17"/>
      <c r="GC160" s="17"/>
      <c r="GD160" s="13"/>
      <c r="GE160" s="13"/>
      <c r="GF160" s="13"/>
      <c r="GG160" s="13"/>
      <c r="GH160" s="13"/>
      <c r="GI160" s="13"/>
      <c r="GJ160" s="13"/>
      <c r="GK160" s="13"/>
    </row>
    <row r="161" spans="1:193" ht="18" customHeight="1">
      <c r="A161" s="18" t="str">
        <f t="shared" si="4"/>
        <v/>
      </c>
      <c r="B161" s="19"/>
      <c r="C161" s="20"/>
      <c r="D161" s="19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20"/>
      <c r="BK161" s="20"/>
      <c r="BL161" s="20"/>
      <c r="BM161" s="20"/>
      <c r="BN161" s="20"/>
      <c r="BO161" s="20"/>
      <c r="BP161" s="20"/>
      <c r="BQ161" s="20"/>
      <c r="BR161" s="20"/>
      <c r="BS161" s="20"/>
      <c r="BT161" s="20"/>
      <c r="BU161" s="20"/>
      <c r="BV161" s="20"/>
      <c r="BW161" s="20"/>
      <c r="BX161" s="20"/>
      <c r="BY161" s="20"/>
      <c r="BZ161" s="20"/>
      <c r="CA161" s="20"/>
      <c r="CB161" s="20"/>
      <c r="CC161" s="20"/>
      <c r="CD161" s="20"/>
      <c r="CE161" s="20"/>
      <c r="CF161" s="20"/>
      <c r="CG161" s="20"/>
      <c r="CH161" s="20"/>
      <c r="CI161" s="20"/>
      <c r="CJ161" s="20"/>
      <c r="CK161" s="20"/>
      <c r="CL161" s="20"/>
      <c r="CM161" s="20"/>
      <c r="CN161" s="20"/>
      <c r="CO161" s="20"/>
      <c r="CP161" s="20"/>
      <c r="CQ161" s="20"/>
      <c r="CR161" s="20"/>
      <c r="CS161" s="20"/>
      <c r="CT161" s="20"/>
      <c r="CU161" s="20"/>
      <c r="CV161" s="20"/>
      <c r="CW161" s="20"/>
      <c r="CX161" s="20"/>
      <c r="CY161" s="20"/>
      <c r="CZ161" s="20"/>
      <c r="DA161" s="20"/>
      <c r="DB161" s="20"/>
      <c r="DC161" s="20"/>
      <c r="DD161" s="20"/>
      <c r="DE161" s="20"/>
      <c r="DF161" s="20"/>
      <c r="DG161" s="20"/>
      <c r="DH161" s="20"/>
      <c r="DI161" s="20"/>
      <c r="DJ161" s="20"/>
      <c r="DK161" s="20"/>
      <c r="DL161" s="20"/>
      <c r="DM161" s="20"/>
      <c r="DN161" s="20"/>
      <c r="DO161" s="20"/>
      <c r="DP161" s="20"/>
      <c r="DQ161" s="20"/>
      <c r="DR161" s="20"/>
      <c r="DS161" s="20"/>
      <c r="DT161" s="20"/>
      <c r="DU161" s="20"/>
      <c r="DV161" s="20"/>
      <c r="DW161" s="20"/>
      <c r="DX161" s="20"/>
      <c r="DY161" s="20"/>
      <c r="DZ161" s="20"/>
      <c r="EA161" s="20"/>
      <c r="EB161" s="20"/>
      <c r="EC161" s="20"/>
      <c r="ED161" s="20"/>
      <c r="EE161" s="20"/>
      <c r="EF161" s="20"/>
      <c r="EG161" s="20"/>
      <c r="EH161" s="20"/>
      <c r="EI161" s="20"/>
      <c r="EJ161" s="20"/>
      <c r="EK161" s="20"/>
      <c r="EL161" s="20"/>
      <c r="EM161" s="20"/>
      <c r="EN161" s="20"/>
      <c r="EO161" s="20"/>
      <c r="EP161" s="20"/>
      <c r="EQ161" s="20"/>
      <c r="ER161" s="20"/>
      <c r="ES161" s="20"/>
      <c r="ET161" s="20"/>
      <c r="EU161" s="20"/>
      <c r="EV161" s="20"/>
      <c r="EW161" s="20"/>
      <c r="EX161" s="20"/>
      <c r="EY161" s="20"/>
      <c r="EZ161" s="20"/>
      <c r="FA161" s="20"/>
      <c r="FB161" s="20"/>
      <c r="FC161" s="20"/>
      <c r="FD161" s="20"/>
      <c r="FE161" s="20"/>
      <c r="FF161" s="20"/>
      <c r="FG161" s="20"/>
      <c r="FH161" s="20"/>
      <c r="FI161" s="20"/>
      <c r="FJ161" s="20"/>
      <c r="FK161" s="20"/>
      <c r="FL161" s="20"/>
      <c r="FM161" s="20"/>
      <c r="FN161" s="20"/>
      <c r="FO161" s="20"/>
      <c r="FP161" s="20"/>
      <c r="FQ161" s="20"/>
      <c r="FR161" s="20"/>
      <c r="FS161" s="20"/>
      <c r="FT161" s="20"/>
      <c r="FU161" s="20"/>
      <c r="FV161" s="20"/>
      <c r="FW161" s="20"/>
      <c r="FX161" s="20"/>
      <c r="FY161" s="20"/>
      <c r="FZ161" s="20"/>
      <c r="GA161" s="20"/>
      <c r="GB161" s="20"/>
      <c r="GC161" s="20"/>
      <c r="GD161" s="20"/>
      <c r="GE161" s="20"/>
      <c r="GF161" s="20"/>
      <c r="GG161" s="20"/>
      <c r="GH161" s="20"/>
      <c r="GI161" s="20"/>
      <c r="GJ161" s="20"/>
      <c r="GK161" s="20"/>
    </row>
    <row r="162" spans="1:193" ht="18" customHeight="1">
      <c r="A162" s="9" t="str">
        <f t="shared" si="4"/>
        <v/>
      </c>
      <c r="B162" s="10"/>
      <c r="C162" s="11"/>
      <c r="D162" s="10"/>
      <c r="E162" s="11"/>
      <c r="F162" s="11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14"/>
      <c r="AZ162" s="14"/>
      <c r="BA162" s="14"/>
      <c r="BB162" s="14"/>
      <c r="BC162" s="15"/>
      <c r="BD162" s="15"/>
      <c r="BE162" s="15"/>
      <c r="BF162" s="15"/>
      <c r="BG162" s="15"/>
      <c r="BH162" s="15"/>
      <c r="BI162" s="15"/>
      <c r="BJ162" s="15"/>
      <c r="BK162" s="15"/>
      <c r="BL162" s="15"/>
      <c r="BM162" s="15"/>
      <c r="BN162" s="15"/>
      <c r="BO162" s="15"/>
      <c r="BP162" s="15"/>
      <c r="BQ162" s="15"/>
      <c r="BR162" s="15"/>
      <c r="BS162" s="12"/>
      <c r="BT162" s="12"/>
      <c r="BU162" s="12"/>
      <c r="BV162" s="12"/>
      <c r="BW162" s="12"/>
      <c r="BX162" s="12"/>
      <c r="BY162" s="12"/>
      <c r="BZ162" s="12"/>
      <c r="CA162" s="12"/>
      <c r="CB162" s="12"/>
      <c r="CC162" s="12"/>
      <c r="CD162" s="12"/>
      <c r="CE162" s="12"/>
      <c r="CF162" s="12"/>
      <c r="CG162" s="12"/>
      <c r="CH162" s="12"/>
      <c r="CI162" s="12"/>
      <c r="CJ162" s="12"/>
      <c r="CK162" s="12"/>
      <c r="CL162" s="12"/>
      <c r="CM162" s="15"/>
      <c r="CN162" s="15"/>
      <c r="CO162" s="15"/>
      <c r="CP162" s="15"/>
      <c r="CQ162" s="15"/>
      <c r="CR162" s="15"/>
      <c r="CS162" s="15"/>
      <c r="CT162" s="15"/>
      <c r="CU162" s="15"/>
      <c r="CV162" s="15"/>
      <c r="CW162" s="15"/>
      <c r="CX162" s="15"/>
      <c r="CY162" s="15"/>
      <c r="CZ162" s="15"/>
      <c r="DA162" s="15"/>
      <c r="DB162" s="15"/>
      <c r="DC162" s="15"/>
      <c r="DD162" s="15"/>
      <c r="DE162" s="15"/>
      <c r="DF162" s="15"/>
      <c r="DG162" s="14"/>
      <c r="DH162" s="14"/>
      <c r="DI162" s="14"/>
      <c r="DJ162" s="14"/>
      <c r="DK162" s="14"/>
      <c r="DL162" s="14"/>
      <c r="DM162" s="14"/>
      <c r="DN162" s="14"/>
      <c r="DO162" s="14"/>
      <c r="DP162" s="14"/>
      <c r="DQ162" s="14"/>
      <c r="DR162" s="14"/>
      <c r="DS162" s="14"/>
      <c r="DT162" s="14"/>
      <c r="DU162" s="14"/>
      <c r="DV162" s="14"/>
      <c r="DW162" s="14"/>
      <c r="DX162" s="14"/>
      <c r="DY162" s="14"/>
      <c r="DZ162" s="14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6"/>
      <c r="EV162" s="16"/>
      <c r="EW162" s="16"/>
      <c r="EX162" s="16"/>
      <c r="EY162" s="16"/>
      <c r="EZ162" s="16"/>
      <c r="FA162" s="16"/>
      <c r="FB162" s="16"/>
      <c r="FC162" s="16"/>
      <c r="FD162" s="16"/>
      <c r="FE162" s="16"/>
      <c r="FF162" s="16"/>
      <c r="FG162" s="16"/>
      <c r="FH162" s="16"/>
      <c r="FI162" s="16"/>
      <c r="FJ162" s="16"/>
      <c r="FK162" s="16"/>
      <c r="FL162" s="16"/>
      <c r="FM162" s="16"/>
      <c r="FN162" s="16"/>
      <c r="FO162" s="17"/>
      <c r="FP162" s="17"/>
      <c r="FQ162" s="17"/>
      <c r="FR162" s="17"/>
      <c r="FS162" s="17"/>
      <c r="FT162" s="17"/>
      <c r="FU162" s="17"/>
      <c r="FV162" s="17"/>
      <c r="FW162" s="17"/>
      <c r="FX162" s="17"/>
      <c r="FY162" s="17"/>
      <c r="FZ162" s="17"/>
      <c r="GA162" s="17"/>
      <c r="GB162" s="17"/>
      <c r="GC162" s="17"/>
      <c r="GD162" s="13"/>
      <c r="GE162" s="13"/>
      <c r="GF162" s="13"/>
      <c r="GG162" s="13"/>
      <c r="GH162" s="13"/>
      <c r="GI162" s="13"/>
      <c r="GJ162" s="13"/>
      <c r="GK162" s="13"/>
    </row>
    <row r="163" spans="1:193" ht="18" customHeight="1">
      <c r="A163" s="18" t="str">
        <f t="shared" si="4"/>
        <v/>
      </c>
      <c r="B163" s="19"/>
      <c r="C163" s="20"/>
      <c r="D163" s="19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  <c r="BH163" s="20"/>
      <c r="BI163" s="20"/>
      <c r="BJ163" s="20"/>
      <c r="BK163" s="20"/>
      <c r="BL163" s="20"/>
      <c r="BM163" s="20"/>
      <c r="BN163" s="20"/>
      <c r="BO163" s="20"/>
      <c r="BP163" s="20"/>
      <c r="BQ163" s="20"/>
      <c r="BR163" s="20"/>
      <c r="BS163" s="20"/>
      <c r="BT163" s="20"/>
      <c r="BU163" s="20"/>
      <c r="BV163" s="20"/>
      <c r="BW163" s="20"/>
      <c r="BX163" s="20"/>
      <c r="BY163" s="20"/>
      <c r="BZ163" s="20"/>
      <c r="CA163" s="20"/>
      <c r="CB163" s="20"/>
      <c r="CC163" s="20"/>
      <c r="CD163" s="20"/>
      <c r="CE163" s="20"/>
      <c r="CF163" s="20"/>
      <c r="CG163" s="20"/>
      <c r="CH163" s="20"/>
      <c r="CI163" s="20"/>
      <c r="CJ163" s="20"/>
      <c r="CK163" s="20"/>
      <c r="CL163" s="20"/>
      <c r="CM163" s="20"/>
      <c r="CN163" s="20"/>
      <c r="CO163" s="20"/>
      <c r="CP163" s="20"/>
      <c r="CQ163" s="20"/>
      <c r="CR163" s="20"/>
      <c r="CS163" s="20"/>
      <c r="CT163" s="20"/>
      <c r="CU163" s="20"/>
      <c r="CV163" s="20"/>
      <c r="CW163" s="20"/>
      <c r="CX163" s="20"/>
      <c r="CY163" s="20"/>
      <c r="CZ163" s="20"/>
      <c r="DA163" s="20"/>
      <c r="DB163" s="20"/>
      <c r="DC163" s="20"/>
      <c r="DD163" s="20"/>
      <c r="DE163" s="20"/>
      <c r="DF163" s="20"/>
      <c r="DG163" s="20"/>
      <c r="DH163" s="20"/>
      <c r="DI163" s="20"/>
      <c r="DJ163" s="20"/>
      <c r="DK163" s="20"/>
      <c r="DL163" s="20"/>
      <c r="DM163" s="20"/>
      <c r="DN163" s="20"/>
      <c r="DO163" s="20"/>
      <c r="DP163" s="20"/>
      <c r="DQ163" s="20"/>
      <c r="DR163" s="20"/>
      <c r="DS163" s="20"/>
      <c r="DT163" s="20"/>
      <c r="DU163" s="20"/>
      <c r="DV163" s="20"/>
      <c r="DW163" s="20"/>
      <c r="DX163" s="20"/>
      <c r="DY163" s="20"/>
      <c r="DZ163" s="20"/>
      <c r="EA163" s="20"/>
      <c r="EB163" s="20"/>
      <c r="EC163" s="20"/>
      <c r="ED163" s="20"/>
      <c r="EE163" s="20"/>
      <c r="EF163" s="20"/>
      <c r="EG163" s="20"/>
      <c r="EH163" s="20"/>
      <c r="EI163" s="20"/>
      <c r="EJ163" s="20"/>
      <c r="EK163" s="20"/>
      <c r="EL163" s="20"/>
      <c r="EM163" s="20"/>
      <c r="EN163" s="20"/>
      <c r="EO163" s="20"/>
      <c r="EP163" s="20"/>
      <c r="EQ163" s="20"/>
      <c r="ER163" s="20"/>
      <c r="ES163" s="20"/>
      <c r="ET163" s="20"/>
      <c r="EU163" s="20"/>
      <c r="EV163" s="20"/>
      <c r="EW163" s="20"/>
      <c r="EX163" s="20"/>
      <c r="EY163" s="20"/>
      <c r="EZ163" s="20"/>
      <c r="FA163" s="20"/>
      <c r="FB163" s="20"/>
      <c r="FC163" s="20"/>
      <c r="FD163" s="20"/>
      <c r="FE163" s="20"/>
      <c r="FF163" s="20"/>
      <c r="FG163" s="20"/>
      <c r="FH163" s="20"/>
      <c r="FI163" s="20"/>
      <c r="FJ163" s="20"/>
      <c r="FK163" s="20"/>
      <c r="FL163" s="20"/>
      <c r="FM163" s="20"/>
      <c r="FN163" s="20"/>
      <c r="FO163" s="20"/>
      <c r="FP163" s="20"/>
      <c r="FQ163" s="20"/>
      <c r="FR163" s="20"/>
      <c r="FS163" s="20"/>
      <c r="FT163" s="20"/>
      <c r="FU163" s="20"/>
      <c r="FV163" s="20"/>
      <c r="FW163" s="20"/>
      <c r="FX163" s="20"/>
      <c r="FY163" s="20"/>
      <c r="FZ163" s="20"/>
      <c r="GA163" s="20"/>
      <c r="GB163" s="20"/>
      <c r="GC163" s="20"/>
      <c r="GD163" s="20"/>
      <c r="GE163" s="20"/>
      <c r="GF163" s="20"/>
      <c r="GG163" s="20"/>
      <c r="GH163" s="20"/>
      <c r="GI163" s="20"/>
      <c r="GJ163" s="20"/>
      <c r="GK163" s="20"/>
    </row>
    <row r="164" spans="1:193" ht="18" customHeight="1">
      <c r="A164" s="9" t="str">
        <f t="shared" si="4"/>
        <v/>
      </c>
      <c r="B164" s="10"/>
      <c r="C164" s="11"/>
      <c r="D164" s="10"/>
      <c r="E164" s="11"/>
      <c r="F164" s="11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14"/>
      <c r="BB164" s="14"/>
      <c r="BC164" s="15"/>
      <c r="BD164" s="15"/>
      <c r="BE164" s="15"/>
      <c r="BF164" s="15"/>
      <c r="BG164" s="15"/>
      <c r="BH164" s="15"/>
      <c r="BI164" s="15"/>
      <c r="BJ164" s="15"/>
      <c r="BK164" s="15"/>
      <c r="BL164" s="15"/>
      <c r="BM164" s="15"/>
      <c r="BN164" s="15"/>
      <c r="BO164" s="15"/>
      <c r="BP164" s="15"/>
      <c r="BQ164" s="15"/>
      <c r="BR164" s="15"/>
      <c r="BS164" s="12"/>
      <c r="BT164" s="12"/>
      <c r="BU164" s="12"/>
      <c r="BV164" s="12"/>
      <c r="BW164" s="12"/>
      <c r="BX164" s="12"/>
      <c r="BY164" s="12"/>
      <c r="BZ164" s="12"/>
      <c r="CA164" s="12"/>
      <c r="CB164" s="12"/>
      <c r="CC164" s="12"/>
      <c r="CD164" s="12"/>
      <c r="CE164" s="12"/>
      <c r="CF164" s="12"/>
      <c r="CG164" s="12"/>
      <c r="CH164" s="12"/>
      <c r="CI164" s="12"/>
      <c r="CJ164" s="12"/>
      <c r="CK164" s="12"/>
      <c r="CL164" s="12"/>
      <c r="CM164" s="15"/>
      <c r="CN164" s="15"/>
      <c r="CO164" s="15"/>
      <c r="CP164" s="15"/>
      <c r="CQ164" s="15"/>
      <c r="CR164" s="15"/>
      <c r="CS164" s="15"/>
      <c r="CT164" s="15"/>
      <c r="CU164" s="15"/>
      <c r="CV164" s="15"/>
      <c r="CW164" s="15"/>
      <c r="CX164" s="15"/>
      <c r="CY164" s="15"/>
      <c r="CZ164" s="15"/>
      <c r="DA164" s="15"/>
      <c r="DB164" s="15"/>
      <c r="DC164" s="15"/>
      <c r="DD164" s="15"/>
      <c r="DE164" s="15"/>
      <c r="DF164" s="15"/>
      <c r="DG164" s="14"/>
      <c r="DH164" s="14"/>
      <c r="DI164" s="14"/>
      <c r="DJ164" s="14"/>
      <c r="DK164" s="14"/>
      <c r="DL164" s="14"/>
      <c r="DM164" s="14"/>
      <c r="DN164" s="14"/>
      <c r="DO164" s="14"/>
      <c r="DP164" s="14"/>
      <c r="DQ164" s="14"/>
      <c r="DR164" s="14"/>
      <c r="DS164" s="14"/>
      <c r="DT164" s="14"/>
      <c r="DU164" s="14"/>
      <c r="DV164" s="14"/>
      <c r="DW164" s="14"/>
      <c r="DX164" s="14"/>
      <c r="DY164" s="14"/>
      <c r="DZ164" s="14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6"/>
      <c r="EV164" s="16"/>
      <c r="EW164" s="16"/>
      <c r="EX164" s="16"/>
      <c r="EY164" s="16"/>
      <c r="EZ164" s="16"/>
      <c r="FA164" s="16"/>
      <c r="FB164" s="16"/>
      <c r="FC164" s="16"/>
      <c r="FD164" s="16"/>
      <c r="FE164" s="16"/>
      <c r="FF164" s="16"/>
      <c r="FG164" s="16"/>
      <c r="FH164" s="16"/>
      <c r="FI164" s="16"/>
      <c r="FJ164" s="16"/>
      <c r="FK164" s="16"/>
      <c r="FL164" s="16"/>
      <c r="FM164" s="16"/>
      <c r="FN164" s="16"/>
      <c r="FO164" s="17"/>
      <c r="FP164" s="17"/>
      <c r="FQ164" s="17"/>
      <c r="FR164" s="17"/>
      <c r="FS164" s="17"/>
      <c r="FT164" s="17"/>
      <c r="FU164" s="17"/>
      <c r="FV164" s="17"/>
      <c r="FW164" s="17"/>
      <c r="FX164" s="17"/>
      <c r="FY164" s="17"/>
      <c r="FZ164" s="17"/>
      <c r="GA164" s="17"/>
      <c r="GB164" s="17"/>
      <c r="GC164" s="17"/>
      <c r="GD164" s="13"/>
      <c r="GE164" s="13"/>
      <c r="GF164" s="13"/>
      <c r="GG164" s="13"/>
      <c r="GH164" s="13"/>
      <c r="GI164" s="13"/>
      <c r="GJ164" s="13"/>
      <c r="GK164" s="13"/>
    </row>
    <row r="165" spans="1:193" ht="18" customHeight="1">
      <c r="A165" s="18" t="str">
        <f t="shared" si="4"/>
        <v/>
      </c>
      <c r="B165" s="19"/>
      <c r="C165" s="20"/>
      <c r="D165" s="19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  <c r="BJ165" s="20"/>
      <c r="BK165" s="20"/>
      <c r="BL165" s="20"/>
      <c r="BM165" s="20"/>
      <c r="BN165" s="20"/>
      <c r="BO165" s="20"/>
      <c r="BP165" s="20"/>
      <c r="BQ165" s="20"/>
      <c r="BR165" s="20"/>
      <c r="BS165" s="20"/>
      <c r="BT165" s="20"/>
      <c r="BU165" s="20"/>
      <c r="BV165" s="20"/>
      <c r="BW165" s="20"/>
      <c r="BX165" s="20"/>
      <c r="BY165" s="20"/>
      <c r="BZ165" s="20"/>
      <c r="CA165" s="20"/>
      <c r="CB165" s="20"/>
      <c r="CC165" s="20"/>
      <c r="CD165" s="20"/>
      <c r="CE165" s="20"/>
      <c r="CF165" s="20"/>
      <c r="CG165" s="20"/>
      <c r="CH165" s="20"/>
      <c r="CI165" s="20"/>
      <c r="CJ165" s="20"/>
      <c r="CK165" s="20"/>
      <c r="CL165" s="20"/>
      <c r="CM165" s="20"/>
      <c r="CN165" s="20"/>
      <c r="CO165" s="20"/>
      <c r="CP165" s="20"/>
      <c r="CQ165" s="20"/>
      <c r="CR165" s="20"/>
      <c r="CS165" s="20"/>
      <c r="CT165" s="20"/>
      <c r="CU165" s="20"/>
      <c r="CV165" s="20"/>
      <c r="CW165" s="20"/>
      <c r="CX165" s="20"/>
      <c r="CY165" s="20"/>
      <c r="CZ165" s="20"/>
      <c r="DA165" s="20"/>
      <c r="DB165" s="20"/>
      <c r="DC165" s="20"/>
      <c r="DD165" s="20"/>
      <c r="DE165" s="20"/>
      <c r="DF165" s="20"/>
      <c r="DG165" s="20"/>
      <c r="DH165" s="20"/>
      <c r="DI165" s="20"/>
      <c r="DJ165" s="20"/>
      <c r="DK165" s="20"/>
      <c r="DL165" s="20"/>
      <c r="DM165" s="20"/>
      <c r="DN165" s="20"/>
      <c r="DO165" s="20"/>
      <c r="DP165" s="20"/>
      <c r="DQ165" s="20"/>
      <c r="DR165" s="20"/>
      <c r="DS165" s="20"/>
      <c r="DT165" s="20"/>
      <c r="DU165" s="20"/>
      <c r="DV165" s="20"/>
      <c r="DW165" s="20"/>
      <c r="DX165" s="20"/>
      <c r="DY165" s="20"/>
      <c r="DZ165" s="20"/>
      <c r="EA165" s="20"/>
      <c r="EB165" s="20"/>
      <c r="EC165" s="20"/>
      <c r="ED165" s="20"/>
      <c r="EE165" s="20"/>
      <c r="EF165" s="20"/>
      <c r="EG165" s="20"/>
      <c r="EH165" s="20"/>
      <c r="EI165" s="20"/>
      <c r="EJ165" s="20"/>
      <c r="EK165" s="20"/>
      <c r="EL165" s="20"/>
      <c r="EM165" s="20"/>
      <c r="EN165" s="20"/>
      <c r="EO165" s="20"/>
      <c r="EP165" s="20"/>
      <c r="EQ165" s="20"/>
      <c r="ER165" s="20"/>
      <c r="ES165" s="20"/>
      <c r="ET165" s="20"/>
      <c r="EU165" s="20"/>
      <c r="EV165" s="20"/>
      <c r="EW165" s="20"/>
      <c r="EX165" s="20"/>
      <c r="EY165" s="20"/>
      <c r="EZ165" s="20"/>
      <c r="FA165" s="20"/>
      <c r="FB165" s="20"/>
      <c r="FC165" s="20"/>
      <c r="FD165" s="20"/>
      <c r="FE165" s="20"/>
      <c r="FF165" s="20"/>
      <c r="FG165" s="20"/>
      <c r="FH165" s="20"/>
      <c r="FI165" s="20"/>
      <c r="FJ165" s="20"/>
      <c r="FK165" s="20"/>
      <c r="FL165" s="20"/>
      <c r="FM165" s="20"/>
      <c r="FN165" s="20"/>
      <c r="FO165" s="20"/>
      <c r="FP165" s="20"/>
      <c r="FQ165" s="20"/>
      <c r="FR165" s="20"/>
      <c r="FS165" s="20"/>
      <c r="FT165" s="20"/>
      <c r="FU165" s="20"/>
      <c r="FV165" s="20"/>
      <c r="FW165" s="20"/>
      <c r="FX165" s="20"/>
      <c r="FY165" s="20"/>
      <c r="FZ165" s="20"/>
      <c r="GA165" s="20"/>
      <c r="GB165" s="20"/>
      <c r="GC165" s="20"/>
      <c r="GD165" s="20"/>
      <c r="GE165" s="20"/>
      <c r="GF165" s="20"/>
      <c r="GG165" s="20"/>
      <c r="GH165" s="20"/>
      <c r="GI165" s="20"/>
      <c r="GJ165" s="20"/>
      <c r="GK165" s="20"/>
    </row>
    <row r="166" spans="1:193" ht="18" customHeight="1">
      <c r="A166" s="9" t="str">
        <f t="shared" ref="A166:A197" si="5">IF(B166&lt;&gt;"","OBS-"&amp;TEXT(ROW()-5,"000"),"")</f>
        <v/>
      </c>
      <c r="B166" s="10"/>
      <c r="C166" s="11"/>
      <c r="D166" s="10"/>
      <c r="E166" s="11"/>
      <c r="F166" s="11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14"/>
      <c r="AZ166" s="14"/>
      <c r="BA166" s="14"/>
      <c r="BB166" s="14"/>
      <c r="BC166" s="15"/>
      <c r="BD166" s="15"/>
      <c r="BE166" s="15"/>
      <c r="BF166" s="15"/>
      <c r="BG166" s="15"/>
      <c r="BH166" s="15"/>
      <c r="BI166" s="15"/>
      <c r="BJ166" s="15"/>
      <c r="BK166" s="15"/>
      <c r="BL166" s="15"/>
      <c r="BM166" s="15"/>
      <c r="BN166" s="15"/>
      <c r="BO166" s="15"/>
      <c r="BP166" s="15"/>
      <c r="BQ166" s="15"/>
      <c r="BR166" s="15"/>
      <c r="BS166" s="12"/>
      <c r="BT166" s="12"/>
      <c r="BU166" s="12"/>
      <c r="BV166" s="12"/>
      <c r="BW166" s="12"/>
      <c r="BX166" s="12"/>
      <c r="BY166" s="12"/>
      <c r="BZ166" s="12"/>
      <c r="CA166" s="12"/>
      <c r="CB166" s="12"/>
      <c r="CC166" s="12"/>
      <c r="CD166" s="12"/>
      <c r="CE166" s="12"/>
      <c r="CF166" s="12"/>
      <c r="CG166" s="12"/>
      <c r="CH166" s="12"/>
      <c r="CI166" s="12"/>
      <c r="CJ166" s="12"/>
      <c r="CK166" s="12"/>
      <c r="CL166" s="12"/>
      <c r="CM166" s="15"/>
      <c r="CN166" s="15"/>
      <c r="CO166" s="15"/>
      <c r="CP166" s="15"/>
      <c r="CQ166" s="15"/>
      <c r="CR166" s="15"/>
      <c r="CS166" s="15"/>
      <c r="CT166" s="15"/>
      <c r="CU166" s="15"/>
      <c r="CV166" s="15"/>
      <c r="CW166" s="15"/>
      <c r="CX166" s="15"/>
      <c r="CY166" s="15"/>
      <c r="CZ166" s="15"/>
      <c r="DA166" s="15"/>
      <c r="DB166" s="15"/>
      <c r="DC166" s="15"/>
      <c r="DD166" s="15"/>
      <c r="DE166" s="15"/>
      <c r="DF166" s="15"/>
      <c r="DG166" s="14"/>
      <c r="DH166" s="14"/>
      <c r="DI166" s="14"/>
      <c r="DJ166" s="14"/>
      <c r="DK166" s="14"/>
      <c r="DL166" s="14"/>
      <c r="DM166" s="14"/>
      <c r="DN166" s="14"/>
      <c r="DO166" s="14"/>
      <c r="DP166" s="14"/>
      <c r="DQ166" s="14"/>
      <c r="DR166" s="14"/>
      <c r="DS166" s="14"/>
      <c r="DT166" s="14"/>
      <c r="DU166" s="14"/>
      <c r="DV166" s="14"/>
      <c r="DW166" s="14"/>
      <c r="DX166" s="14"/>
      <c r="DY166" s="14"/>
      <c r="DZ166" s="14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6"/>
      <c r="EV166" s="16"/>
      <c r="EW166" s="16"/>
      <c r="EX166" s="16"/>
      <c r="EY166" s="16"/>
      <c r="EZ166" s="16"/>
      <c r="FA166" s="16"/>
      <c r="FB166" s="16"/>
      <c r="FC166" s="16"/>
      <c r="FD166" s="16"/>
      <c r="FE166" s="16"/>
      <c r="FF166" s="16"/>
      <c r="FG166" s="16"/>
      <c r="FH166" s="16"/>
      <c r="FI166" s="16"/>
      <c r="FJ166" s="16"/>
      <c r="FK166" s="16"/>
      <c r="FL166" s="16"/>
      <c r="FM166" s="16"/>
      <c r="FN166" s="16"/>
      <c r="FO166" s="17"/>
      <c r="FP166" s="17"/>
      <c r="FQ166" s="17"/>
      <c r="FR166" s="17"/>
      <c r="FS166" s="17"/>
      <c r="FT166" s="17"/>
      <c r="FU166" s="17"/>
      <c r="FV166" s="17"/>
      <c r="FW166" s="17"/>
      <c r="FX166" s="17"/>
      <c r="FY166" s="17"/>
      <c r="FZ166" s="17"/>
      <c r="GA166" s="17"/>
      <c r="GB166" s="17"/>
      <c r="GC166" s="17"/>
      <c r="GD166" s="13"/>
      <c r="GE166" s="13"/>
      <c r="GF166" s="13"/>
      <c r="GG166" s="13"/>
      <c r="GH166" s="13"/>
      <c r="GI166" s="13"/>
      <c r="GJ166" s="13"/>
      <c r="GK166" s="13"/>
    </row>
    <row r="167" spans="1:193" ht="18" customHeight="1">
      <c r="A167" s="18" t="str">
        <f t="shared" si="5"/>
        <v/>
      </c>
      <c r="B167" s="19"/>
      <c r="C167" s="20"/>
      <c r="D167" s="19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20"/>
      <c r="BK167" s="20"/>
      <c r="BL167" s="20"/>
      <c r="BM167" s="20"/>
      <c r="BN167" s="20"/>
      <c r="BO167" s="20"/>
      <c r="BP167" s="20"/>
      <c r="BQ167" s="20"/>
      <c r="BR167" s="20"/>
      <c r="BS167" s="20"/>
      <c r="BT167" s="20"/>
      <c r="BU167" s="20"/>
      <c r="BV167" s="20"/>
      <c r="BW167" s="20"/>
      <c r="BX167" s="20"/>
      <c r="BY167" s="20"/>
      <c r="BZ167" s="20"/>
      <c r="CA167" s="20"/>
      <c r="CB167" s="20"/>
      <c r="CC167" s="20"/>
      <c r="CD167" s="20"/>
      <c r="CE167" s="20"/>
      <c r="CF167" s="20"/>
      <c r="CG167" s="20"/>
      <c r="CH167" s="20"/>
      <c r="CI167" s="20"/>
      <c r="CJ167" s="20"/>
      <c r="CK167" s="20"/>
      <c r="CL167" s="20"/>
      <c r="CM167" s="20"/>
      <c r="CN167" s="20"/>
      <c r="CO167" s="20"/>
      <c r="CP167" s="20"/>
      <c r="CQ167" s="20"/>
      <c r="CR167" s="20"/>
      <c r="CS167" s="20"/>
      <c r="CT167" s="20"/>
      <c r="CU167" s="20"/>
      <c r="CV167" s="20"/>
      <c r="CW167" s="20"/>
      <c r="CX167" s="20"/>
      <c r="CY167" s="20"/>
      <c r="CZ167" s="20"/>
      <c r="DA167" s="20"/>
      <c r="DB167" s="20"/>
      <c r="DC167" s="20"/>
      <c r="DD167" s="20"/>
      <c r="DE167" s="20"/>
      <c r="DF167" s="20"/>
      <c r="DG167" s="20"/>
      <c r="DH167" s="20"/>
      <c r="DI167" s="20"/>
      <c r="DJ167" s="20"/>
      <c r="DK167" s="20"/>
      <c r="DL167" s="20"/>
      <c r="DM167" s="20"/>
      <c r="DN167" s="20"/>
      <c r="DO167" s="20"/>
      <c r="DP167" s="20"/>
      <c r="DQ167" s="20"/>
      <c r="DR167" s="20"/>
      <c r="DS167" s="20"/>
      <c r="DT167" s="20"/>
      <c r="DU167" s="20"/>
      <c r="DV167" s="20"/>
      <c r="DW167" s="20"/>
      <c r="DX167" s="20"/>
      <c r="DY167" s="20"/>
      <c r="DZ167" s="20"/>
      <c r="EA167" s="20"/>
      <c r="EB167" s="20"/>
      <c r="EC167" s="20"/>
      <c r="ED167" s="20"/>
      <c r="EE167" s="20"/>
      <c r="EF167" s="20"/>
      <c r="EG167" s="20"/>
      <c r="EH167" s="20"/>
      <c r="EI167" s="20"/>
      <c r="EJ167" s="20"/>
      <c r="EK167" s="20"/>
      <c r="EL167" s="20"/>
      <c r="EM167" s="20"/>
      <c r="EN167" s="20"/>
      <c r="EO167" s="20"/>
      <c r="EP167" s="20"/>
      <c r="EQ167" s="20"/>
      <c r="ER167" s="20"/>
      <c r="ES167" s="20"/>
      <c r="ET167" s="20"/>
      <c r="EU167" s="20"/>
      <c r="EV167" s="20"/>
      <c r="EW167" s="20"/>
      <c r="EX167" s="20"/>
      <c r="EY167" s="20"/>
      <c r="EZ167" s="20"/>
      <c r="FA167" s="20"/>
      <c r="FB167" s="20"/>
      <c r="FC167" s="20"/>
      <c r="FD167" s="20"/>
      <c r="FE167" s="20"/>
      <c r="FF167" s="20"/>
      <c r="FG167" s="20"/>
      <c r="FH167" s="20"/>
      <c r="FI167" s="20"/>
      <c r="FJ167" s="20"/>
      <c r="FK167" s="20"/>
      <c r="FL167" s="20"/>
      <c r="FM167" s="20"/>
      <c r="FN167" s="20"/>
      <c r="FO167" s="20"/>
      <c r="FP167" s="20"/>
      <c r="FQ167" s="20"/>
      <c r="FR167" s="20"/>
      <c r="FS167" s="20"/>
      <c r="FT167" s="20"/>
      <c r="FU167" s="20"/>
      <c r="FV167" s="20"/>
      <c r="FW167" s="20"/>
      <c r="FX167" s="20"/>
      <c r="FY167" s="20"/>
      <c r="FZ167" s="20"/>
      <c r="GA167" s="20"/>
      <c r="GB167" s="20"/>
      <c r="GC167" s="20"/>
      <c r="GD167" s="20"/>
      <c r="GE167" s="20"/>
      <c r="GF167" s="20"/>
      <c r="GG167" s="20"/>
      <c r="GH167" s="20"/>
      <c r="GI167" s="20"/>
      <c r="GJ167" s="20"/>
      <c r="GK167" s="20"/>
    </row>
    <row r="168" spans="1:193" ht="18" customHeight="1">
      <c r="A168" s="9" t="str">
        <f t="shared" si="5"/>
        <v/>
      </c>
      <c r="B168" s="10"/>
      <c r="C168" s="11"/>
      <c r="D168" s="10"/>
      <c r="E168" s="11"/>
      <c r="F168" s="11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  <c r="AY168" s="14"/>
      <c r="AZ168" s="14"/>
      <c r="BA168" s="14"/>
      <c r="BB168" s="14"/>
      <c r="BC168" s="15"/>
      <c r="BD168" s="15"/>
      <c r="BE168" s="15"/>
      <c r="BF168" s="15"/>
      <c r="BG168" s="15"/>
      <c r="BH168" s="15"/>
      <c r="BI168" s="15"/>
      <c r="BJ168" s="15"/>
      <c r="BK168" s="15"/>
      <c r="BL168" s="15"/>
      <c r="BM168" s="15"/>
      <c r="BN168" s="15"/>
      <c r="BO168" s="15"/>
      <c r="BP168" s="15"/>
      <c r="BQ168" s="15"/>
      <c r="BR168" s="15"/>
      <c r="BS168" s="12"/>
      <c r="BT168" s="12"/>
      <c r="BU168" s="12"/>
      <c r="BV168" s="12"/>
      <c r="BW168" s="12"/>
      <c r="BX168" s="12"/>
      <c r="BY168" s="12"/>
      <c r="BZ168" s="12"/>
      <c r="CA168" s="12"/>
      <c r="CB168" s="12"/>
      <c r="CC168" s="12"/>
      <c r="CD168" s="12"/>
      <c r="CE168" s="12"/>
      <c r="CF168" s="12"/>
      <c r="CG168" s="12"/>
      <c r="CH168" s="12"/>
      <c r="CI168" s="12"/>
      <c r="CJ168" s="12"/>
      <c r="CK168" s="12"/>
      <c r="CL168" s="12"/>
      <c r="CM168" s="15"/>
      <c r="CN168" s="15"/>
      <c r="CO168" s="15"/>
      <c r="CP168" s="15"/>
      <c r="CQ168" s="15"/>
      <c r="CR168" s="15"/>
      <c r="CS168" s="15"/>
      <c r="CT168" s="15"/>
      <c r="CU168" s="15"/>
      <c r="CV168" s="15"/>
      <c r="CW168" s="15"/>
      <c r="CX168" s="15"/>
      <c r="CY168" s="15"/>
      <c r="CZ168" s="15"/>
      <c r="DA168" s="15"/>
      <c r="DB168" s="15"/>
      <c r="DC168" s="15"/>
      <c r="DD168" s="15"/>
      <c r="DE168" s="15"/>
      <c r="DF168" s="15"/>
      <c r="DG168" s="14"/>
      <c r="DH168" s="14"/>
      <c r="DI168" s="14"/>
      <c r="DJ168" s="14"/>
      <c r="DK168" s="14"/>
      <c r="DL168" s="14"/>
      <c r="DM168" s="14"/>
      <c r="DN168" s="14"/>
      <c r="DO168" s="14"/>
      <c r="DP168" s="14"/>
      <c r="DQ168" s="14"/>
      <c r="DR168" s="14"/>
      <c r="DS168" s="14"/>
      <c r="DT168" s="14"/>
      <c r="DU168" s="14"/>
      <c r="DV168" s="14"/>
      <c r="DW168" s="14"/>
      <c r="DX168" s="14"/>
      <c r="DY168" s="14"/>
      <c r="DZ168" s="14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6"/>
      <c r="EV168" s="16"/>
      <c r="EW168" s="16"/>
      <c r="EX168" s="16"/>
      <c r="EY168" s="16"/>
      <c r="EZ168" s="16"/>
      <c r="FA168" s="16"/>
      <c r="FB168" s="16"/>
      <c r="FC168" s="16"/>
      <c r="FD168" s="16"/>
      <c r="FE168" s="16"/>
      <c r="FF168" s="16"/>
      <c r="FG168" s="16"/>
      <c r="FH168" s="16"/>
      <c r="FI168" s="16"/>
      <c r="FJ168" s="16"/>
      <c r="FK168" s="16"/>
      <c r="FL168" s="16"/>
      <c r="FM168" s="16"/>
      <c r="FN168" s="16"/>
      <c r="FO168" s="17"/>
      <c r="FP168" s="17"/>
      <c r="FQ168" s="17"/>
      <c r="FR168" s="17"/>
      <c r="FS168" s="17"/>
      <c r="FT168" s="17"/>
      <c r="FU168" s="17"/>
      <c r="FV168" s="17"/>
      <c r="FW168" s="17"/>
      <c r="FX168" s="17"/>
      <c r="FY168" s="17"/>
      <c r="FZ168" s="17"/>
      <c r="GA168" s="17"/>
      <c r="GB168" s="17"/>
      <c r="GC168" s="17"/>
      <c r="GD168" s="13"/>
      <c r="GE168" s="13"/>
      <c r="GF168" s="13"/>
      <c r="GG168" s="13"/>
      <c r="GH168" s="13"/>
      <c r="GI168" s="13"/>
      <c r="GJ168" s="13"/>
      <c r="GK168" s="13"/>
    </row>
    <row r="169" spans="1:193" ht="18" customHeight="1">
      <c r="A169" s="18" t="str">
        <f t="shared" si="5"/>
        <v/>
      </c>
      <c r="B169" s="19"/>
      <c r="C169" s="20"/>
      <c r="D169" s="19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  <c r="BO169" s="20"/>
      <c r="BP169" s="20"/>
      <c r="BQ169" s="20"/>
      <c r="BR169" s="20"/>
      <c r="BS169" s="20"/>
      <c r="BT169" s="20"/>
      <c r="BU169" s="20"/>
      <c r="BV169" s="20"/>
      <c r="BW169" s="20"/>
      <c r="BX169" s="20"/>
      <c r="BY169" s="20"/>
      <c r="BZ169" s="20"/>
      <c r="CA169" s="20"/>
      <c r="CB169" s="20"/>
      <c r="CC169" s="20"/>
      <c r="CD169" s="20"/>
      <c r="CE169" s="20"/>
      <c r="CF169" s="20"/>
      <c r="CG169" s="20"/>
      <c r="CH169" s="20"/>
      <c r="CI169" s="20"/>
      <c r="CJ169" s="20"/>
      <c r="CK169" s="20"/>
      <c r="CL169" s="20"/>
      <c r="CM169" s="20"/>
      <c r="CN169" s="20"/>
      <c r="CO169" s="20"/>
      <c r="CP169" s="20"/>
      <c r="CQ169" s="20"/>
      <c r="CR169" s="20"/>
      <c r="CS169" s="20"/>
      <c r="CT169" s="20"/>
      <c r="CU169" s="20"/>
      <c r="CV169" s="20"/>
      <c r="CW169" s="20"/>
      <c r="CX169" s="20"/>
      <c r="CY169" s="20"/>
      <c r="CZ169" s="20"/>
      <c r="DA169" s="20"/>
      <c r="DB169" s="20"/>
      <c r="DC169" s="20"/>
      <c r="DD169" s="20"/>
      <c r="DE169" s="20"/>
      <c r="DF169" s="20"/>
      <c r="DG169" s="20"/>
      <c r="DH169" s="20"/>
      <c r="DI169" s="20"/>
      <c r="DJ169" s="20"/>
      <c r="DK169" s="20"/>
      <c r="DL169" s="20"/>
      <c r="DM169" s="20"/>
      <c r="DN169" s="20"/>
      <c r="DO169" s="20"/>
      <c r="DP169" s="20"/>
      <c r="DQ169" s="20"/>
      <c r="DR169" s="20"/>
      <c r="DS169" s="20"/>
      <c r="DT169" s="20"/>
      <c r="DU169" s="20"/>
      <c r="DV169" s="20"/>
      <c r="DW169" s="20"/>
      <c r="DX169" s="20"/>
      <c r="DY169" s="20"/>
      <c r="DZ169" s="20"/>
      <c r="EA169" s="20"/>
      <c r="EB169" s="20"/>
      <c r="EC169" s="20"/>
      <c r="ED169" s="20"/>
      <c r="EE169" s="20"/>
      <c r="EF169" s="20"/>
      <c r="EG169" s="20"/>
      <c r="EH169" s="20"/>
      <c r="EI169" s="20"/>
      <c r="EJ169" s="20"/>
      <c r="EK169" s="20"/>
      <c r="EL169" s="20"/>
      <c r="EM169" s="20"/>
      <c r="EN169" s="20"/>
      <c r="EO169" s="20"/>
      <c r="EP169" s="20"/>
      <c r="EQ169" s="20"/>
      <c r="ER169" s="20"/>
      <c r="ES169" s="20"/>
      <c r="ET169" s="20"/>
      <c r="EU169" s="20"/>
      <c r="EV169" s="20"/>
      <c r="EW169" s="20"/>
      <c r="EX169" s="20"/>
      <c r="EY169" s="20"/>
      <c r="EZ169" s="20"/>
      <c r="FA169" s="20"/>
      <c r="FB169" s="20"/>
      <c r="FC169" s="20"/>
      <c r="FD169" s="20"/>
      <c r="FE169" s="20"/>
      <c r="FF169" s="20"/>
      <c r="FG169" s="20"/>
      <c r="FH169" s="20"/>
      <c r="FI169" s="20"/>
      <c r="FJ169" s="20"/>
      <c r="FK169" s="20"/>
      <c r="FL169" s="20"/>
      <c r="FM169" s="20"/>
      <c r="FN169" s="20"/>
      <c r="FO169" s="20"/>
      <c r="FP169" s="20"/>
      <c r="FQ169" s="20"/>
      <c r="FR169" s="20"/>
      <c r="FS169" s="20"/>
      <c r="FT169" s="20"/>
      <c r="FU169" s="20"/>
      <c r="FV169" s="20"/>
      <c r="FW169" s="20"/>
      <c r="FX169" s="20"/>
      <c r="FY169" s="20"/>
      <c r="FZ169" s="20"/>
      <c r="GA169" s="20"/>
      <c r="GB169" s="20"/>
      <c r="GC169" s="20"/>
      <c r="GD169" s="20"/>
      <c r="GE169" s="20"/>
      <c r="GF169" s="20"/>
      <c r="GG169" s="20"/>
      <c r="GH169" s="20"/>
      <c r="GI169" s="20"/>
      <c r="GJ169" s="20"/>
      <c r="GK169" s="20"/>
    </row>
    <row r="170" spans="1:193" ht="18" customHeight="1">
      <c r="A170" s="9" t="str">
        <f t="shared" si="5"/>
        <v/>
      </c>
      <c r="B170" s="10"/>
      <c r="C170" s="11"/>
      <c r="D170" s="10"/>
      <c r="E170" s="11"/>
      <c r="F170" s="11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14"/>
      <c r="AZ170" s="14"/>
      <c r="BA170" s="14"/>
      <c r="BB170" s="14"/>
      <c r="BC170" s="15"/>
      <c r="BD170" s="15"/>
      <c r="BE170" s="15"/>
      <c r="BF170" s="15"/>
      <c r="BG170" s="15"/>
      <c r="BH170" s="15"/>
      <c r="BI170" s="15"/>
      <c r="BJ170" s="15"/>
      <c r="BK170" s="15"/>
      <c r="BL170" s="15"/>
      <c r="BM170" s="15"/>
      <c r="BN170" s="15"/>
      <c r="BO170" s="15"/>
      <c r="BP170" s="15"/>
      <c r="BQ170" s="15"/>
      <c r="BR170" s="15"/>
      <c r="BS170" s="12"/>
      <c r="BT170" s="12"/>
      <c r="BU170" s="12"/>
      <c r="BV170" s="12"/>
      <c r="BW170" s="12"/>
      <c r="BX170" s="12"/>
      <c r="BY170" s="12"/>
      <c r="BZ170" s="12"/>
      <c r="CA170" s="12"/>
      <c r="CB170" s="12"/>
      <c r="CC170" s="12"/>
      <c r="CD170" s="12"/>
      <c r="CE170" s="12"/>
      <c r="CF170" s="12"/>
      <c r="CG170" s="12"/>
      <c r="CH170" s="12"/>
      <c r="CI170" s="12"/>
      <c r="CJ170" s="12"/>
      <c r="CK170" s="12"/>
      <c r="CL170" s="12"/>
      <c r="CM170" s="15"/>
      <c r="CN170" s="15"/>
      <c r="CO170" s="15"/>
      <c r="CP170" s="15"/>
      <c r="CQ170" s="15"/>
      <c r="CR170" s="15"/>
      <c r="CS170" s="15"/>
      <c r="CT170" s="15"/>
      <c r="CU170" s="15"/>
      <c r="CV170" s="15"/>
      <c r="CW170" s="15"/>
      <c r="CX170" s="15"/>
      <c r="CY170" s="15"/>
      <c r="CZ170" s="15"/>
      <c r="DA170" s="15"/>
      <c r="DB170" s="15"/>
      <c r="DC170" s="15"/>
      <c r="DD170" s="15"/>
      <c r="DE170" s="15"/>
      <c r="DF170" s="15"/>
      <c r="DG170" s="14"/>
      <c r="DH170" s="14"/>
      <c r="DI170" s="14"/>
      <c r="DJ170" s="14"/>
      <c r="DK170" s="14"/>
      <c r="DL170" s="14"/>
      <c r="DM170" s="14"/>
      <c r="DN170" s="14"/>
      <c r="DO170" s="14"/>
      <c r="DP170" s="14"/>
      <c r="DQ170" s="14"/>
      <c r="DR170" s="14"/>
      <c r="DS170" s="14"/>
      <c r="DT170" s="14"/>
      <c r="DU170" s="14"/>
      <c r="DV170" s="14"/>
      <c r="DW170" s="14"/>
      <c r="DX170" s="14"/>
      <c r="DY170" s="14"/>
      <c r="DZ170" s="14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6"/>
      <c r="EV170" s="16"/>
      <c r="EW170" s="16"/>
      <c r="EX170" s="16"/>
      <c r="EY170" s="16"/>
      <c r="EZ170" s="16"/>
      <c r="FA170" s="16"/>
      <c r="FB170" s="16"/>
      <c r="FC170" s="16"/>
      <c r="FD170" s="16"/>
      <c r="FE170" s="16"/>
      <c r="FF170" s="16"/>
      <c r="FG170" s="16"/>
      <c r="FH170" s="16"/>
      <c r="FI170" s="16"/>
      <c r="FJ170" s="16"/>
      <c r="FK170" s="16"/>
      <c r="FL170" s="16"/>
      <c r="FM170" s="16"/>
      <c r="FN170" s="16"/>
      <c r="FO170" s="17"/>
      <c r="FP170" s="17"/>
      <c r="FQ170" s="17"/>
      <c r="FR170" s="17"/>
      <c r="FS170" s="17"/>
      <c r="FT170" s="17"/>
      <c r="FU170" s="17"/>
      <c r="FV170" s="17"/>
      <c r="FW170" s="17"/>
      <c r="FX170" s="17"/>
      <c r="FY170" s="17"/>
      <c r="FZ170" s="17"/>
      <c r="GA170" s="17"/>
      <c r="GB170" s="17"/>
      <c r="GC170" s="17"/>
      <c r="GD170" s="13"/>
      <c r="GE170" s="13"/>
      <c r="GF170" s="13"/>
      <c r="GG170" s="13"/>
      <c r="GH170" s="13"/>
      <c r="GI170" s="13"/>
      <c r="GJ170" s="13"/>
      <c r="GK170" s="13"/>
    </row>
    <row r="171" spans="1:193" ht="18" customHeight="1">
      <c r="A171" s="18" t="str">
        <f t="shared" si="5"/>
        <v/>
      </c>
      <c r="B171" s="19"/>
      <c r="C171" s="20"/>
      <c r="D171" s="19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  <c r="BJ171" s="20"/>
      <c r="BK171" s="20"/>
      <c r="BL171" s="20"/>
      <c r="BM171" s="20"/>
      <c r="BN171" s="20"/>
      <c r="BO171" s="20"/>
      <c r="BP171" s="20"/>
      <c r="BQ171" s="20"/>
      <c r="BR171" s="20"/>
      <c r="BS171" s="20"/>
      <c r="BT171" s="20"/>
      <c r="BU171" s="20"/>
      <c r="BV171" s="20"/>
      <c r="BW171" s="20"/>
      <c r="BX171" s="20"/>
      <c r="BY171" s="20"/>
      <c r="BZ171" s="20"/>
      <c r="CA171" s="20"/>
      <c r="CB171" s="20"/>
      <c r="CC171" s="20"/>
      <c r="CD171" s="20"/>
      <c r="CE171" s="20"/>
      <c r="CF171" s="20"/>
      <c r="CG171" s="20"/>
      <c r="CH171" s="20"/>
      <c r="CI171" s="20"/>
      <c r="CJ171" s="20"/>
      <c r="CK171" s="20"/>
      <c r="CL171" s="20"/>
      <c r="CM171" s="20"/>
      <c r="CN171" s="20"/>
      <c r="CO171" s="20"/>
      <c r="CP171" s="20"/>
      <c r="CQ171" s="20"/>
      <c r="CR171" s="20"/>
      <c r="CS171" s="20"/>
      <c r="CT171" s="20"/>
      <c r="CU171" s="20"/>
      <c r="CV171" s="20"/>
      <c r="CW171" s="20"/>
      <c r="CX171" s="20"/>
      <c r="CY171" s="20"/>
      <c r="CZ171" s="20"/>
      <c r="DA171" s="20"/>
      <c r="DB171" s="20"/>
      <c r="DC171" s="20"/>
      <c r="DD171" s="20"/>
      <c r="DE171" s="20"/>
      <c r="DF171" s="20"/>
      <c r="DG171" s="20"/>
      <c r="DH171" s="20"/>
      <c r="DI171" s="20"/>
      <c r="DJ171" s="20"/>
      <c r="DK171" s="20"/>
      <c r="DL171" s="20"/>
      <c r="DM171" s="20"/>
      <c r="DN171" s="20"/>
      <c r="DO171" s="20"/>
      <c r="DP171" s="20"/>
      <c r="DQ171" s="20"/>
      <c r="DR171" s="20"/>
      <c r="DS171" s="20"/>
      <c r="DT171" s="20"/>
      <c r="DU171" s="20"/>
      <c r="DV171" s="20"/>
      <c r="DW171" s="20"/>
      <c r="DX171" s="20"/>
      <c r="DY171" s="20"/>
      <c r="DZ171" s="20"/>
      <c r="EA171" s="20"/>
      <c r="EB171" s="20"/>
      <c r="EC171" s="20"/>
      <c r="ED171" s="20"/>
      <c r="EE171" s="20"/>
      <c r="EF171" s="20"/>
      <c r="EG171" s="20"/>
      <c r="EH171" s="20"/>
      <c r="EI171" s="20"/>
      <c r="EJ171" s="20"/>
      <c r="EK171" s="20"/>
      <c r="EL171" s="20"/>
      <c r="EM171" s="20"/>
      <c r="EN171" s="20"/>
      <c r="EO171" s="20"/>
      <c r="EP171" s="20"/>
      <c r="EQ171" s="20"/>
      <c r="ER171" s="20"/>
      <c r="ES171" s="20"/>
      <c r="ET171" s="20"/>
      <c r="EU171" s="20"/>
      <c r="EV171" s="20"/>
      <c r="EW171" s="20"/>
      <c r="EX171" s="20"/>
      <c r="EY171" s="20"/>
      <c r="EZ171" s="20"/>
      <c r="FA171" s="20"/>
      <c r="FB171" s="20"/>
      <c r="FC171" s="20"/>
      <c r="FD171" s="20"/>
      <c r="FE171" s="20"/>
      <c r="FF171" s="20"/>
      <c r="FG171" s="20"/>
      <c r="FH171" s="20"/>
      <c r="FI171" s="20"/>
      <c r="FJ171" s="20"/>
      <c r="FK171" s="20"/>
      <c r="FL171" s="20"/>
      <c r="FM171" s="20"/>
      <c r="FN171" s="20"/>
      <c r="FO171" s="20"/>
      <c r="FP171" s="20"/>
      <c r="FQ171" s="20"/>
      <c r="FR171" s="20"/>
      <c r="FS171" s="20"/>
      <c r="FT171" s="20"/>
      <c r="FU171" s="20"/>
      <c r="FV171" s="20"/>
      <c r="FW171" s="20"/>
      <c r="FX171" s="20"/>
      <c r="FY171" s="20"/>
      <c r="FZ171" s="20"/>
      <c r="GA171" s="20"/>
      <c r="GB171" s="20"/>
      <c r="GC171" s="20"/>
      <c r="GD171" s="20"/>
      <c r="GE171" s="20"/>
      <c r="GF171" s="20"/>
      <c r="GG171" s="20"/>
      <c r="GH171" s="20"/>
      <c r="GI171" s="20"/>
      <c r="GJ171" s="20"/>
      <c r="GK171" s="20"/>
    </row>
    <row r="172" spans="1:193" ht="18" customHeight="1">
      <c r="A172" s="9" t="str">
        <f t="shared" si="5"/>
        <v/>
      </c>
      <c r="B172" s="10"/>
      <c r="C172" s="11"/>
      <c r="D172" s="10"/>
      <c r="E172" s="11"/>
      <c r="F172" s="11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14"/>
      <c r="AZ172" s="14"/>
      <c r="BA172" s="14"/>
      <c r="BB172" s="14"/>
      <c r="BC172" s="15"/>
      <c r="BD172" s="15"/>
      <c r="BE172" s="15"/>
      <c r="BF172" s="15"/>
      <c r="BG172" s="15"/>
      <c r="BH172" s="15"/>
      <c r="BI172" s="15"/>
      <c r="BJ172" s="15"/>
      <c r="BK172" s="15"/>
      <c r="BL172" s="15"/>
      <c r="BM172" s="15"/>
      <c r="BN172" s="15"/>
      <c r="BO172" s="15"/>
      <c r="BP172" s="15"/>
      <c r="BQ172" s="15"/>
      <c r="BR172" s="15"/>
      <c r="BS172" s="12"/>
      <c r="BT172" s="12"/>
      <c r="BU172" s="12"/>
      <c r="BV172" s="12"/>
      <c r="BW172" s="12"/>
      <c r="BX172" s="12"/>
      <c r="BY172" s="12"/>
      <c r="BZ172" s="12"/>
      <c r="CA172" s="12"/>
      <c r="CB172" s="12"/>
      <c r="CC172" s="12"/>
      <c r="CD172" s="12"/>
      <c r="CE172" s="12"/>
      <c r="CF172" s="12"/>
      <c r="CG172" s="12"/>
      <c r="CH172" s="12"/>
      <c r="CI172" s="12"/>
      <c r="CJ172" s="12"/>
      <c r="CK172" s="12"/>
      <c r="CL172" s="12"/>
      <c r="CM172" s="15"/>
      <c r="CN172" s="15"/>
      <c r="CO172" s="15"/>
      <c r="CP172" s="15"/>
      <c r="CQ172" s="15"/>
      <c r="CR172" s="15"/>
      <c r="CS172" s="15"/>
      <c r="CT172" s="15"/>
      <c r="CU172" s="15"/>
      <c r="CV172" s="15"/>
      <c r="CW172" s="15"/>
      <c r="CX172" s="15"/>
      <c r="CY172" s="15"/>
      <c r="CZ172" s="15"/>
      <c r="DA172" s="15"/>
      <c r="DB172" s="15"/>
      <c r="DC172" s="15"/>
      <c r="DD172" s="15"/>
      <c r="DE172" s="15"/>
      <c r="DF172" s="15"/>
      <c r="DG172" s="14"/>
      <c r="DH172" s="14"/>
      <c r="DI172" s="14"/>
      <c r="DJ172" s="14"/>
      <c r="DK172" s="14"/>
      <c r="DL172" s="14"/>
      <c r="DM172" s="14"/>
      <c r="DN172" s="14"/>
      <c r="DO172" s="14"/>
      <c r="DP172" s="14"/>
      <c r="DQ172" s="14"/>
      <c r="DR172" s="14"/>
      <c r="DS172" s="14"/>
      <c r="DT172" s="14"/>
      <c r="DU172" s="14"/>
      <c r="DV172" s="14"/>
      <c r="DW172" s="14"/>
      <c r="DX172" s="14"/>
      <c r="DY172" s="14"/>
      <c r="DZ172" s="14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6"/>
      <c r="EV172" s="16"/>
      <c r="EW172" s="16"/>
      <c r="EX172" s="16"/>
      <c r="EY172" s="16"/>
      <c r="EZ172" s="16"/>
      <c r="FA172" s="16"/>
      <c r="FB172" s="16"/>
      <c r="FC172" s="16"/>
      <c r="FD172" s="16"/>
      <c r="FE172" s="16"/>
      <c r="FF172" s="16"/>
      <c r="FG172" s="16"/>
      <c r="FH172" s="16"/>
      <c r="FI172" s="16"/>
      <c r="FJ172" s="16"/>
      <c r="FK172" s="16"/>
      <c r="FL172" s="16"/>
      <c r="FM172" s="16"/>
      <c r="FN172" s="16"/>
      <c r="FO172" s="17"/>
      <c r="FP172" s="17"/>
      <c r="FQ172" s="17"/>
      <c r="FR172" s="17"/>
      <c r="FS172" s="17"/>
      <c r="FT172" s="17"/>
      <c r="FU172" s="17"/>
      <c r="FV172" s="17"/>
      <c r="FW172" s="17"/>
      <c r="FX172" s="17"/>
      <c r="FY172" s="17"/>
      <c r="FZ172" s="17"/>
      <c r="GA172" s="17"/>
      <c r="GB172" s="17"/>
      <c r="GC172" s="17"/>
      <c r="GD172" s="13"/>
      <c r="GE172" s="13"/>
      <c r="GF172" s="13"/>
      <c r="GG172" s="13"/>
      <c r="GH172" s="13"/>
      <c r="GI172" s="13"/>
      <c r="GJ172" s="13"/>
      <c r="GK172" s="13"/>
    </row>
    <row r="173" spans="1:193" ht="18" customHeight="1">
      <c r="A173" s="18" t="str">
        <f t="shared" si="5"/>
        <v/>
      </c>
      <c r="B173" s="19"/>
      <c r="C173" s="20"/>
      <c r="D173" s="19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  <c r="BJ173" s="20"/>
      <c r="BK173" s="20"/>
      <c r="BL173" s="20"/>
      <c r="BM173" s="20"/>
      <c r="BN173" s="20"/>
      <c r="BO173" s="20"/>
      <c r="BP173" s="20"/>
      <c r="BQ173" s="20"/>
      <c r="BR173" s="20"/>
      <c r="BS173" s="20"/>
      <c r="BT173" s="20"/>
      <c r="BU173" s="20"/>
      <c r="BV173" s="20"/>
      <c r="BW173" s="20"/>
      <c r="BX173" s="20"/>
      <c r="BY173" s="20"/>
      <c r="BZ173" s="20"/>
      <c r="CA173" s="20"/>
      <c r="CB173" s="20"/>
      <c r="CC173" s="20"/>
      <c r="CD173" s="20"/>
      <c r="CE173" s="20"/>
      <c r="CF173" s="20"/>
      <c r="CG173" s="20"/>
      <c r="CH173" s="20"/>
      <c r="CI173" s="20"/>
      <c r="CJ173" s="20"/>
      <c r="CK173" s="20"/>
      <c r="CL173" s="20"/>
      <c r="CM173" s="20"/>
      <c r="CN173" s="20"/>
      <c r="CO173" s="20"/>
      <c r="CP173" s="20"/>
      <c r="CQ173" s="20"/>
      <c r="CR173" s="20"/>
      <c r="CS173" s="20"/>
      <c r="CT173" s="20"/>
      <c r="CU173" s="20"/>
      <c r="CV173" s="20"/>
      <c r="CW173" s="20"/>
      <c r="CX173" s="20"/>
      <c r="CY173" s="20"/>
      <c r="CZ173" s="20"/>
      <c r="DA173" s="20"/>
      <c r="DB173" s="20"/>
      <c r="DC173" s="20"/>
      <c r="DD173" s="20"/>
      <c r="DE173" s="20"/>
      <c r="DF173" s="20"/>
      <c r="DG173" s="20"/>
      <c r="DH173" s="20"/>
      <c r="DI173" s="20"/>
      <c r="DJ173" s="20"/>
      <c r="DK173" s="20"/>
      <c r="DL173" s="20"/>
      <c r="DM173" s="20"/>
      <c r="DN173" s="20"/>
      <c r="DO173" s="20"/>
      <c r="DP173" s="20"/>
      <c r="DQ173" s="20"/>
      <c r="DR173" s="20"/>
      <c r="DS173" s="20"/>
      <c r="DT173" s="20"/>
      <c r="DU173" s="20"/>
      <c r="DV173" s="20"/>
      <c r="DW173" s="20"/>
      <c r="DX173" s="20"/>
      <c r="DY173" s="20"/>
      <c r="DZ173" s="20"/>
      <c r="EA173" s="20"/>
      <c r="EB173" s="20"/>
      <c r="EC173" s="20"/>
      <c r="ED173" s="20"/>
      <c r="EE173" s="20"/>
      <c r="EF173" s="20"/>
      <c r="EG173" s="20"/>
      <c r="EH173" s="20"/>
      <c r="EI173" s="20"/>
      <c r="EJ173" s="20"/>
      <c r="EK173" s="20"/>
      <c r="EL173" s="20"/>
      <c r="EM173" s="20"/>
      <c r="EN173" s="20"/>
      <c r="EO173" s="20"/>
      <c r="EP173" s="20"/>
      <c r="EQ173" s="20"/>
      <c r="ER173" s="20"/>
      <c r="ES173" s="20"/>
      <c r="ET173" s="20"/>
      <c r="EU173" s="20"/>
      <c r="EV173" s="20"/>
      <c r="EW173" s="20"/>
      <c r="EX173" s="20"/>
      <c r="EY173" s="20"/>
      <c r="EZ173" s="20"/>
      <c r="FA173" s="20"/>
      <c r="FB173" s="20"/>
      <c r="FC173" s="20"/>
      <c r="FD173" s="20"/>
      <c r="FE173" s="20"/>
      <c r="FF173" s="20"/>
      <c r="FG173" s="20"/>
      <c r="FH173" s="20"/>
      <c r="FI173" s="20"/>
      <c r="FJ173" s="20"/>
      <c r="FK173" s="20"/>
      <c r="FL173" s="20"/>
      <c r="FM173" s="20"/>
      <c r="FN173" s="20"/>
      <c r="FO173" s="20"/>
      <c r="FP173" s="20"/>
      <c r="FQ173" s="20"/>
      <c r="FR173" s="20"/>
      <c r="FS173" s="20"/>
      <c r="FT173" s="20"/>
      <c r="FU173" s="20"/>
      <c r="FV173" s="20"/>
      <c r="FW173" s="20"/>
      <c r="FX173" s="20"/>
      <c r="FY173" s="20"/>
      <c r="FZ173" s="20"/>
      <c r="GA173" s="20"/>
      <c r="GB173" s="20"/>
      <c r="GC173" s="20"/>
      <c r="GD173" s="20"/>
      <c r="GE173" s="20"/>
      <c r="GF173" s="20"/>
      <c r="GG173" s="20"/>
      <c r="GH173" s="20"/>
      <c r="GI173" s="20"/>
      <c r="GJ173" s="20"/>
      <c r="GK173" s="20"/>
    </row>
    <row r="174" spans="1:193" ht="18" customHeight="1">
      <c r="A174" s="9" t="str">
        <f t="shared" si="5"/>
        <v/>
      </c>
      <c r="B174" s="10"/>
      <c r="C174" s="11"/>
      <c r="D174" s="10"/>
      <c r="E174" s="11"/>
      <c r="F174" s="11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  <c r="BA174" s="14"/>
      <c r="BB174" s="14"/>
      <c r="BC174" s="15"/>
      <c r="BD174" s="15"/>
      <c r="BE174" s="15"/>
      <c r="BF174" s="15"/>
      <c r="BG174" s="15"/>
      <c r="BH174" s="15"/>
      <c r="BI174" s="15"/>
      <c r="BJ174" s="15"/>
      <c r="BK174" s="15"/>
      <c r="BL174" s="15"/>
      <c r="BM174" s="15"/>
      <c r="BN174" s="15"/>
      <c r="BO174" s="15"/>
      <c r="BP174" s="15"/>
      <c r="BQ174" s="15"/>
      <c r="BR174" s="15"/>
      <c r="BS174" s="12"/>
      <c r="BT174" s="12"/>
      <c r="BU174" s="12"/>
      <c r="BV174" s="12"/>
      <c r="BW174" s="12"/>
      <c r="BX174" s="12"/>
      <c r="BY174" s="12"/>
      <c r="BZ174" s="12"/>
      <c r="CA174" s="12"/>
      <c r="CB174" s="12"/>
      <c r="CC174" s="12"/>
      <c r="CD174" s="12"/>
      <c r="CE174" s="12"/>
      <c r="CF174" s="12"/>
      <c r="CG174" s="12"/>
      <c r="CH174" s="12"/>
      <c r="CI174" s="12"/>
      <c r="CJ174" s="12"/>
      <c r="CK174" s="12"/>
      <c r="CL174" s="12"/>
      <c r="CM174" s="15"/>
      <c r="CN174" s="15"/>
      <c r="CO174" s="15"/>
      <c r="CP174" s="15"/>
      <c r="CQ174" s="15"/>
      <c r="CR174" s="15"/>
      <c r="CS174" s="15"/>
      <c r="CT174" s="15"/>
      <c r="CU174" s="15"/>
      <c r="CV174" s="15"/>
      <c r="CW174" s="15"/>
      <c r="CX174" s="15"/>
      <c r="CY174" s="15"/>
      <c r="CZ174" s="15"/>
      <c r="DA174" s="15"/>
      <c r="DB174" s="15"/>
      <c r="DC174" s="15"/>
      <c r="DD174" s="15"/>
      <c r="DE174" s="15"/>
      <c r="DF174" s="15"/>
      <c r="DG174" s="14"/>
      <c r="DH174" s="14"/>
      <c r="DI174" s="14"/>
      <c r="DJ174" s="14"/>
      <c r="DK174" s="14"/>
      <c r="DL174" s="14"/>
      <c r="DM174" s="14"/>
      <c r="DN174" s="14"/>
      <c r="DO174" s="14"/>
      <c r="DP174" s="14"/>
      <c r="DQ174" s="14"/>
      <c r="DR174" s="14"/>
      <c r="DS174" s="14"/>
      <c r="DT174" s="14"/>
      <c r="DU174" s="14"/>
      <c r="DV174" s="14"/>
      <c r="DW174" s="14"/>
      <c r="DX174" s="14"/>
      <c r="DY174" s="14"/>
      <c r="DZ174" s="14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6"/>
      <c r="EV174" s="16"/>
      <c r="EW174" s="16"/>
      <c r="EX174" s="16"/>
      <c r="EY174" s="16"/>
      <c r="EZ174" s="16"/>
      <c r="FA174" s="16"/>
      <c r="FB174" s="16"/>
      <c r="FC174" s="16"/>
      <c r="FD174" s="16"/>
      <c r="FE174" s="16"/>
      <c r="FF174" s="16"/>
      <c r="FG174" s="16"/>
      <c r="FH174" s="16"/>
      <c r="FI174" s="16"/>
      <c r="FJ174" s="16"/>
      <c r="FK174" s="16"/>
      <c r="FL174" s="16"/>
      <c r="FM174" s="16"/>
      <c r="FN174" s="16"/>
      <c r="FO174" s="17"/>
      <c r="FP174" s="17"/>
      <c r="FQ174" s="17"/>
      <c r="FR174" s="17"/>
      <c r="FS174" s="17"/>
      <c r="FT174" s="17"/>
      <c r="FU174" s="17"/>
      <c r="FV174" s="17"/>
      <c r="FW174" s="17"/>
      <c r="FX174" s="17"/>
      <c r="FY174" s="17"/>
      <c r="FZ174" s="17"/>
      <c r="GA174" s="17"/>
      <c r="GB174" s="17"/>
      <c r="GC174" s="17"/>
      <c r="GD174" s="13"/>
      <c r="GE174" s="13"/>
      <c r="GF174" s="13"/>
      <c r="GG174" s="13"/>
      <c r="GH174" s="13"/>
      <c r="GI174" s="13"/>
      <c r="GJ174" s="13"/>
      <c r="GK174" s="13"/>
    </row>
    <row r="175" spans="1:193" ht="18" customHeight="1">
      <c r="A175" s="18" t="str">
        <f t="shared" si="5"/>
        <v/>
      </c>
      <c r="B175" s="19"/>
      <c r="C175" s="20"/>
      <c r="D175" s="19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20"/>
      <c r="BI175" s="20"/>
      <c r="BJ175" s="20"/>
      <c r="BK175" s="20"/>
      <c r="BL175" s="20"/>
      <c r="BM175" s="20"/>
      <c r="BN175" s="20"/>
      <c r="BO175" s="20"/>
      <c r="BP175" s="20"/>
      <c r="BQ175" s="20"/>
      <c r="BR175" s="20"/>
      <c r="BS175" s="20"/>
      <c r="BT175" s="20"/>
      <c r="BU175" s="20"/>
      <c r="BV175" s="20"/>
      <c r="BW175" s="20"/>
      <c r="BX175" s="20"/>
      <c r="BY175" s="20"/>
      <c r="BZ175" s="20"/>
      <c r="CA175" s="20"/>
      <c r="CB175" s="20"/>
      <c r="CC175" s="20"/>
      <c r="CD175" s="20"/>
      <c r="CE175" s="20"/>
      <c r="CF175" s="20"/>
      <c r="CG175" s="20"/>
      <c r="CH175" s="20"/>
      <c r="CI175" s="20"/>
      <c r="CJ175" s="20"/>
      <c r="CK175" s="20"/>
      <c r="CL175" s="20"/>
      <c r="CM175" s="20"/>
      <c r="CN175" s="20"/>
      <c r="CO175" s="20"/>
      <c r="CP175" s="20"/>
      <c r="CQ175" s="20"/>
      <c r="CR175" s="20"/>
      <c r="CS175" s="20"/>
      <c r="CT175" s="20"/>
      <c r="CU175" s="20"/>
      <c r="CV175" s="20"/>
      <c r="CW175" s="20"/>
      <c r="CX175" s="20"/>
      <c r="CY175" s="20"/>
      <c r="CZ175" s="20"/>
      <c r="DA175" s="20"/>
      <c r="DB175" s="20"/>
      <c r="DC175" s="20"/>
      <c r="DD175" s="20"/>
      <c r="DE175" s="20"/>
      <c r="DF175" s="20"/>
      <c r="DG175" s="20"/>
      <c r="DH175" s="20"/>
      <c r="DI175" s="20"/>
      <c r="DJ175" s="20"/>
      <c r="DK175" s="20"/>
      <c r="DL175" s="20"/>
      <c r="DM175" s="20"/>
      <c r="DN175" s="20"/>
      <c r="DO175" s="20"/>
      <c r="DP175" s="20"/>
      <c r="DQ175" s="20"/>
      <c r="DR175" s="20"/>
      <c r="DS175" s="20"/>
      <c r="DT175" s="20"/>
      <c r="DU175" s="20"/>
      <c r="DV175" s="20"/>
      <c r="DW175" s="20"/>
      <c r="DX175" s="20"/>
      <c r="DY175" s="20"/>
      <c r="DZ175" s="20"/>
      <c r="EA175" s="20"/>
      <c r="EB175" s="20"/>
      <c r="EC175" s="20"/>
      <c r="ED175" s="20"/>
      <c r="EE175" s="20"/>
      <c r="EF175" s="20"/>
      <c r="EG175" s="20"/>
      <c r="EH175" s="20"/>
      <c r="EI175" s="20"/>
      <c r="EJ175" s="20"/>
      <c r="EK175" s="20"/>
      <c r="EL175" s="20"/>
      <c r="EM175" s="20"/>
      <c r="EN175" s="20"/>
      <c r="EO175" s="20"/>
      <c r="EP175" s="20"/>
      <c r="EQ175" s="20"/>
      <c r="ER175" s="20"/>
      <c r="ES175" s="20"/>
      <c r="ET175" s="20"/>
      <c r="EU175" s="20"/>
      <c r="EV175" s="20"/>
      <c r="EW175" s="20"/>
      <c r="EX175" s="20"/>
      <c r="EY175" s="20"/>
      <c r="EZ175" s="20"/>
      <c r="FA175" s="20"/>
      <c r="FB175" s="20"/>
      <c r="FC175" s="20"/>
      <c r="FD175" s="20"/>
      <c r="FE175" s="20"/>
      <c r="FF175" s="20"/>
      <c r="FG175" s="20"/>
      <c r="FH175" s="20"/>
      <c r="FI175" s="20"/>
      <c r="FJ175" s="20"/>
      <c r="FK175" s="20"/>
      <c r="FL175" s="20"/>
      <c r="FM175" s="20"/>
      <c r="FN175" s="20"/>
      <c r="FO175" s="20"/>
      <c r="FP175" s="20"/>
      <c r="FQ175" s="20"/>
      <c r="FR175" s="20"/>
      <c r="FS175" s="20"/>
      <c r="FT175" s="20"/>
      <c r="FU175" s="20"/>
      <c r="FV175" s="20"/>
      <c r="FW175" s="20"/>
      <c r="FX175" s="20"/>
      <c r="FY175" s="20"/>
      <c r="FZ175" s="20"/>
      <c r="GA175" s="20"/>
      <c r="GB175" s="20"/>
      <c r="GC175" s="20"/>
      <c r="GD175" s="20"/>
      <c r="GE175" s="20"/>
      <c r="GF175" s="20"/>
      <c r="GG175" s="20"/>
      <c r="GH175" s="20"/>
      <c r="GI175" s="20"/>
      <c r="GJ175" s="20"/>
      <c r="GK175" s="20"/>
    </row>
    <row r="176" spans="1:193" ht="18" customHeight="1">
      <c r="A176" s="9" t="str">
        <f t="shared" si="5"/>
        <v/>
      </c>
      <c r="B176" s="10"/>
      <c r="C176" s="11"/>
      <c r="D176" s="10"/>
      <c r="E176" s="11"/>
      <c r="F176" s="11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  <c r="AY176" s="14"/>
      <c r="AZ176" s="14"/>
      <c r="BA176" s="14"/>
      <c r="BB176" s="14"/>
      <c r="BC176" s="15"/>
      <c r="BD176" s="15"/>
      <c r="BE176" s="15"/>
      <c r="BF176" s="15"/>
      <c r="BG176" s="15"/>
      <c r="BH176" s="15"/>
      <c r="BI176" s="15"/>
      <c r="BJ176" s="15"/>
      <c r="BK176" s="15"/>
      <c r="BL176" s="15"/>
      <c r="BM176" s="15"/>
      <c r="BN176" s="15"/>
      <c r="BO176" s="15"/>
      <c r="BP176" s="15"/>
      <c r="BQ176" s="15"/>
      <c r="BR176" s="15"/>
      <c r="BS176" s="12"/>
      <c r="BT176" s="12"/>
      <c r="BU176" s="12"/>
      <c r="BV176" s="12"/>
      <c r="BW176" s="12"/>
      <c r="BX176" s="12"/>
      <c r="BY176" s="12"/>
      <c r="BZ176" s="12"/>
      <c r="CA176" s="12"/>
      <c r="CB176" s="12"/>
      <c r="CC176" s="12"/>
      <c r="CD176" s="12"/>
      <c r="CE176" s="12"/>
      <c r="CF176" s="12"/>
      <c r="CG176" s="12"/>
      <c r="CH176" s="12"/>
      <c r="CI176" s="12"/>
      <c r="CJ176" s="12"/>
      <c r="CK176" s="12"/>
      <c r="CL176" s="12"/>
      <c r="CM176" s="15"/>
      <c r="CN176" s="15"/>
      <c r="CO176" s="15"/>
      <c r="CP176" s="15"/>
      <c r="CQ176" s="15"/>
      <c r="CR176" s="15"/>
      <c r="CS176" s="15"/>
      <c r="CT176" s="15"/>
      <c r="CU176" s="15"/>
      <c r="CV176" s="15"/>
      <c r="CW176" s="15"/>
      <c r="CX176" s="15"/>
      <c r="CY176" s="15"/>
      <c r="CZ176" s="15"/>
      <c r="DA176" s="15"/>
      <c r="DB176" s="15"/>
      <c r="DC176" s="15"/>
      <c r="DD176" s="15"/>
      <c r="DE176" s="15"/>
      <c r="DF176" s="15"/>
      <c r="DG176" s="14"/>
      <c r="DH176" s="14"/>
      <c r="DI176" s="14"/>
      <c r="DJ176" s="14"/>
      <c r="DK176" s="14"/>
      <c r="DL176" s="14"/>
      <c r="DM176" s="14"/>
      <c r="DN176" s="14"/>
      <c r="DO176" s="14"/>
      <c r="DP176" s="14"/>
      <c r="DQ176" s="14"/>
      <c r="DR176" s="14"/>
      <c r="DS176" s="14"/>
      <c r="DT176" s="14"/>
      <c r="DU176" s="14"/>
      <c r="DV176" s="14"/>
      <c r="DW176" s="14"/>
      <c r="DX176" s="14"/>
      <c r="DY176" s="14"/>
      <c r="DZ176" s="14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6"/>
      <c r="EV176" s="16"/>
      <c r="EW176" s="16"/>
      <c r="EX176" s="16"/>
      <c r="EY176" s="16"/>
      <c r="EZ176" s="16"/>
      <c r="FA176" s="16"/>
      <c r="FB176" s="16"/>
      <c r="FC176" s="16"/>
      <c r="FD176" s="16"/>
      <c r="FE176" s="16"/>
      <c r="FF176" s="16"/>
      <c r="FG176" s="16"/>
      <c r="FH176" s="16"/>
      <c r="FI176" s="16"/>
      <c r="FJ176" s="16"/>
      <c r="FK176" s="16"/>
      <c r="FL176" s="16"/>
      <c r="FM176" s="16"/>
      <c r="FN176" s="16"/>
      <c r="FO176" s="17"/>
      <c r="FP176" s="17"/>
      <c r="FQ176" s="17"/>
      <c r="FR176" s="17"/>
      <c r="FS176" s="17"/>
      <c r="FT176" s="17"/>
      <c r="FU176" s="17"/>
      <c r="FV176" s="17"/>
      <c r="FW176" s="17"/>
      <c r="FX176" s="17"/>
      <c r="FY176" s="17"/>
      <c r="FZ176" s="17"/>
      <c r="GA176" s="17"/>
      <c r="GB176" s="17"/>
      <c r="GC176" s="17"/>
      <c r="GD176" s="13"/>
      <c r="GE176" s="13"/>
      <c r="GF176" s="13"/>
      <c r="GG176" s="13"/>
      <c r="GH176" s="13"/>
      <c r="GI176" s="13"/>
      <c r="GJ176" s="13"/>
      <c r="GK176" s="13"/>
    </row>
    <row r="177" spans="1:193" ht="18" customHeight="1">
      <c r="A177" s="18" t="str">
        <f t="shared" si="5"/>
        <v/>
      </c>
      <c r="B177" s="19"/>
      <c r="C177" s="20"/>
      <c r="D177" s="19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20"/>
      <c r="BJ177" s="20"/>
      <c r="BK177" s="20"/>
      <c r="BL177" s="20"/>
      <c r="BM177" s="20"/>
      <c r="BN177" s="20"/>
      <c r="BO177" s="20"/>
      <c r="BP177" s="20"/>
      <c r="BQ177" s="20"/>
      <c r="BR177" s="20"/>
      <c r="BS177" s="20"/>
      <c r="BT177" s="20"/>
      <c r="BU177" s="20"/>
      <c r="BV177" s="20"/>
      <c r="BW177" s="20"/>
      <c r="BX177" s="20"/>
      <c r="BY177" s="20"/>
      <c r="BZ177" s="20"/>
      <c r="CA177" s="20"/>
      <c r="CB177" s="20"/>
      <c r="CC177" s="20"/>
      <c r="CD177" s="20"/>
      <c r="CE177" s="20"/>
      <c r="CF177" s="20"/>
      <c r="CG177" s="20"/>
      <c r="CH177" s="20"/>
      <c r="CI177" s="20"/>
      <c r="CJ177" s="20"/>
      <c r="CK177" s="20"/>
      <c r="CL177" s="20"/>
      <c r="CM177" s="20"/>
      <c r="CN177" s="20"/>
      <c r="CO177" s="20"/>
      <c r="CP177" s="20"/>
      <c r="CQ177" s="20"/>
      <c r="CR177" s="20"/>
      <c r="CS177" s="20"/>
      <c r="CT177" s="20"/>
      <c r="CU177" s="20"/>
      <c r="CV177" s="20"/>
      <c r="CW177" s="20"/>
      <c r="CX177" s="20"/>
      <c r="CY177" s="20"/>
      <c r="CZ177" s="20"/>
      <c r="DA177" s="20"/>
      <c r="DB177" s="20"/>
      <c r="DC177" s="20"/>
      <c r="DD177" s="20"/>
      <c r="DE177" s="20"/>
      <c r="DF177" s="20"/>
      <c r="DG177" s="20"/>
      <c r="DH177" s="20"/>
      <c r="DI177" s="20"/>
      <c r="DJ177" s="20"/>
      <c r="DK177" s="20"/>
      <c r="DL177" s="20"/>
      <c r="DM177" s="20"/>
      <c r="DN177" s="20"/>
      <c r="DO177" s="20"/>
      <c r="DP177" s="20"/>
      <c r="DQ177" s="20"/>
      <c r="DR177" s="20"/>
      <c r="DS177" s="20"/>
      <c r="DT177" s="20"/>
      <c r="DU177" s="20"/>
      <c r="DV177" s="20"/>
      <c r="DW177" s="20"/>
      <c r="DX177" s="20"/>
      <c r="DY177" s="20"/>
      <c r="DZ177" s="20"/>
      <c r="EA177" s="20"/>
      <c r="EB177" s="20"/>
      <c r="EC177" s="20"/>
      <c r="ED177" s="20"/>
      <c r="EE177" s="20"/>
      <c r="EF177" s="20"/>
      <c r="EG177" s="20"/>
      <c r="EH177" s="20"/>
      <c r="EI177" s="20"/>
      <c r="EJ177" s="20"/>
      <c r="EK177" s="20"/>
      <c r="EL177" s="20"/>
      <c r="EM177" s="20"/>
      <c r="EN177" s="20"/>
      <c r="EO177" s="20"/>
      <c r="EP177" s="20"/>
      <c r="EQ177" s="20"/>
      <c r="ER177" s="20"/>
      <c r="ES177" s="20"/>
      <c r="ET177" s="20"/>
      <c r="EU177" s="20"/>
      <c r="EV177" s="20"/>
      <c r="EW177" s="20"/>
      <c r="EX177" s="20"/>
      <c r="EY177" s="20"/>
      <c r="EZ177" s="20"/>
      <c r="FA177" s="20"/>
      <c r="FB177" s="20"/>
      <c r="FC177" s="20"/>
      <c r="FD177" s="20"/>
      <c r="FE177" s="20"/>
      <c r="FF177" s="20"/>
      <c r="FG177" s="20"/>
      <c r="FH177" s="20"/>
      <c r="FI177" s="20"/>
      <c r="FJ177" s="20"/>
      <c r="FK177" s="20"/>
      <c r="FL177" s="20"/>
      <c r="FM177" s="20"/>
      <c r="FN177" s="20"/>
      <c r="FO177" s="20"/>
      <c r="FP177" s="20"/>
      <c r="FQ177" s="20"/>
      <c r="FR177" s="20"/>
      <c r="FS177" s="20"/>
      <c r="FT177" s="20"/>
      <c r="FU177" s="20"/>
      <c r="FV177" s="20"/>
      <c r="FW177" s="20"/>
      <c r="FX177" s="20"/>
      <c r="FY177" s="20"/>
      <c r="FZ177" s="20"/>
      <c r="GA177" s="20"/>
      <c r="GB177" s="20"/>
      <c r="GC177" s="20"/>
      <c r="GD177" s="20"/>
      <c r="GE177" s="20"/>
      <c r="GF177" s="20"/>
      <c r="GG177" s="20"/>
      <c r="GH177" s="20"/>
      <c r="GI177" s="20"/>
      <c r="GJ177" s="20"/>
      <c r="GK177" s="20"/>
    </row>
    <row r="178" spans="1:193" ht="18" customHeight="1">
      <c r="A178" s="9" t="str">
        <f t="shared" si="5"/>
        <v/>
      </c>
      <c r="B178" s="10"/>
      <c r="C178" s="11"/>
      <c r="D178" s="10"/>
      <c r="E178" s="11"/>
      <c r="F178" s="11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  <c r="AX178" s="14"/>
      <c r="AY178" s="14"/>
      <c r="AZ178" s="14"/>
      <c r="BA178" s="14"/>
      <c r="BB178" s="14"/>
      <c r="BC178" s="15"/>
      <c r="BD178" s="15"/>
      <c r="BE178" s="15"/>
      <c r="BF178" s="15"/>
      <c r="BG178" s="15"/>
      <c r="BH178" s="15"/>
      <c r="BI178" s="15"/>
      <c r="BJ178" s="15"/>
      <c r="BK178" s="15"/>
      <c r="BL178" s="15"/>
      <c r="BM178" s="15"/>
      <c r="BN178" s="15"/>
      <c r="BO178" s="15"/>
      <c r="BP178" s="15"/>
      <c r="BQ178" s="15"/>
      <c r="BR178" s="15"/>
      <c r="BS178" s="12"/>
      <c r="BT178" s="12"/>
      <c r="BU178" s="12"/>
      <c r="BV178" s="12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5"/>
      <c r="CN178" s="15"/>
      <c r="CO178" s="15"/>
      <c r="CP178" s="15"/>
      <c r="CQ178" s="15"/>
      <c r="CR178" s="15"/>
      <c r="CS178" s="15"/>
      <c r="CT178" s="15"/>
      <c r="CU178" s="15"/>
      <c r="CV178" s="15"/>
      <c r="CW178" s="15"/>
      <c r="CX178" s="15"/>
      <c r="CY178" s="15"/>
      <c r="CZ178" s="15"/>
      <c r="DA178" s="15"/>
      <c r="DB178" s="15"/>
      <c r="DC178" s="15"/>
      <c r="DD178" s="15"/>
      <c r="DE178" s="15"/>
      <c r="DF178" s="15"/>
      <c r="DG178" s="14"/>
      <c r="DH178" s="14"/>
      <c r="DI178" s="14"/>
      <c r="DJ178" s="14"/>
      <c r="DK178" s="14"/>
      <c r="DL178" s="14"/>
      <c r="DM178" s="14"/>
      <c r="DN178" s="14"/>
      <c r="DO178" s="14"/>
      <c r="DP178" s="14"/>
      <c r="DQ178" s="14"/>
      <c r="DR178" s="14"/>
      <c r="DS178" s="14"/>
      <c r="DT178" s="14"/>
      <c r="DU178" s="14"/>
      <c r="DV178" s="14"/>
      <c r="DW178" s="14"/>
      <c r="DX178" s="14"/>
      <c r="DY178" s="14"/>
      <c r="DZ178" s="14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6"/>
      <c r="EV178" s="16"/>
      <c r="EW178" s="16"/>
      <c r="EX178" s="16"/>
      <c r="EY178" s="16"/>
      <c r="EZ178" s="16"/>
      <c r="FA178" s="16"/>
      <c r="FB178" s="16"/>
      <c r="FC178" s="16"/>
      <c r="FD178" s="16"/>
      <c r="FE178" s="16"/>
      <c r="FF178" s="16"/>
      <c r="FG178" s="16"/>
      <c r="FH178" s="16"/>
      <c r="FI178" s="16"/>
      <c r="FJ178" s="16"/>
      <c r="FK178" s="16"/>
      <c r="FL178" s="16"/>
      <c r="FM178" s="16"/>
      <c r="FN178" s="16"/>
      <c r="FO178" s="17"/>
      <c r="FP178" s="17"/>
      <c r="FQ178" s="17"/>
      <c r="FR178" s="17"/>
      <c r="FS178" s="17"/>
      <c r="FT178" s="17"/>
      <c r="FU178" s="17"/>
      <c r="FV178" s="17"/>
      <c r="FW178" s="17"/>
      <c r="FX178" s="17"/>
      <c r="FY178" s="17"/>
      <c r="FZ178" s="17"/>
      <c r="GA178" s="17"/>
      <c r="GB178" s="17"/>
      <c r="GC178" s="17"/>
      <c r="GD178" s="13"/>
      <c r="GE178" s="13"/>
      <c r="GF178" s="13"/>
      <c r="GG178" s="13"/>
      <c r="GH178" s="13"/>
      <c r="GI178" s="13"/>
      <c r="GJ178" s="13"/>
      <c r="GK178" s="13"/>
    </row>
    <row r="179" spans="1:193" ht="18" customHeight="1">
      <c r="A179" s="18" t="str">
        <f t="shared" si="5"/>
        <v/>
      </c>
      <c r="B179" s="19"/>
      <c r="C179" s="20"/>
      <c r="D179" s="19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  <c r="BJ179" s="20"/>
      <c r="BK179" s="20"/>
      <c r="BL179" s="20"/>
      <c r="BM179" s="20"/>
      <c r="BN179" s="20"/>
      <c r="BO179" s="20"/>
      <c r="BP179" s="20"/>
      <c r="BQ179" s="20"/>
      <c r="BR179" s="20"/>
      <c r="BS179" s="20"/>
      <c r="BT179" s="20"/>
      <c r="BU179" s="20"/>
      <c r="BV179" s="20"/>
      <c r="BW179" s="20"/>
      <c r="BX179" s="20"/>
      <c r="BY179" s="20"/>
      <c r="BZ179" s="20"/>
      <c r="CA179" s="20"/>
      <c r="CB179" s="20"/>
      <c r="CC179" s="20"/>
      <c r="CD179" s="20"/>
      <c r="CE179" s="20"/>
      <c r="CF179" s="20"/>
      <c r="CG179" s="20"/>
      <c r="CH179" s="20"/>
      <c r="CI179" s="20"/>
      <c r="CJ179" s="20"/>
      <c r="CK179" s="20"/>
      <c r="CL179" s="20"/>
      <c r="CM179" s="20"/>
      <c r="CN179" s="20"/>
      <c r="CO179" s="20"/>
      <c r="CP179" s="20"/>
      <c r="CQ179" s="20"/>
      <c r="CR179" s="20"/>
      <c r="CS179" s="20"/>
      <c r="CT179" s="20"/>
      <c r="CU179" s="20"/>
      <c r="CV179" s="20"/>
      <c r="CW179" s="20"/>
      <c r="CX179" s="20"/>
      <c r="CY179" s="20"/>
      <c r="CZ179" s="20"/>
      <c r="DA179" s="20"/>
      <c r="DB179" s="20"/>
      <c r="DC179" s="20"/>
      <c r="DD179" s="20"/>
      <c r="DE179" s="20"/>
      <c r="DF179" s="20"/>
      <c r="DG179" s="20"/>
      <c r="DH179" s="20"/>
      <c r="DI179" s="20"/>
      <c r="DJ179" s="20"/>
      <c r="DK179" s="20"/>
      <c r="DL179" s="20"/>
      <c r="DM179" s="20"/>
      <c r="DN179" s="20"/>
      <c r="DO179" s="20"/>
      <c r="DP179" s="20"/>
      <c r="DQ179" s="20"/>
      <c r="DR179" s="20"/>
      <c r="DS179" s="20"/>
      <c r="DT179" s="20"/>
      <c r="DU179" s="20"/>
      <c r="DV179" s="20"/>
      <c r="DW179" s="20"/>
      <c r="DX179" s="20"/>
      <c r="DY179" s="20"/>
      <c r="DZ179" s="20"/>
      <c r="EA179" s="20"/>
      <c r="EB179" s="20"/>
      <c r="EC179" s="20"/>
      <c r="ED179" s="20"/>
      <c r="EE179" s="20"/>
      <c r="EF179" s="20"/>
      <c r="EG179" s="20"/>
      <c r="EH179" s="20"/>
      <c r="EI179" s="20"/>
      <c r="EJ179" s="20"/>
      <c r="EK179" s="20"/>
      <c r="EL179" s="20"/>
      <c r="EM179" s="20"/>
      <c r="EN179" s="20"/>
      <c r="EO179" s="20"/>
      <c r="EP179" s="20"/>
      <c r="EQ179" s="20"/>
      <c r="ER179" s="20"/>
      <c r="ES179" s="20"/>
      <c r="ET179" s="20"/>
      <c r="EU179" s="20"/>
      <c r="EV179" s="20"/>
      <c r="EW179" s="20"/>
      <c r="EX179" s="20"/>
      <c r="EY179" s="20"/>
      <c r="EZ179" s="20"/>
      <c r="FA179" s="20"/>
      <c r="FB179" s="20"/>
      <c r="FC179" s="20"/>
      <c r="FD179" s="20"/>
      <c r="FE179" s="20"/>
      <c r="FF179" s="20"/>
      <c r="FG179" s="20"/>
      <c r="FH179" s="20"/>
      <c r="FI179" s="20"/>
      <c r="FJ179" s="20"/>
      <c r="FK179" s="20"/>
      <c r="FL179" s="20"/>
      <c r="FM179" s="20"/>
      <c r="FN179" s="20"/>
      <c r="FO179" s="20"/>
      <c r="FP179" s="20"/>
      <c r="FQ179" s="20"/>
      <c r="FR179" s="20"/>
      <c r="FS179" s="20"/>
      <c r="FT179" s="20"/>
      <c r="FU179" s="20"/>
      <c r="FV179" s="20"/>
      <c r="FW179" s="20"/>
      <c r="FX179" s="20"/>
      <c r="FY179" s="20"/>
      <c r="FZ179" s="20"/>
      <c r="GA179" s="20"/>
      <c r="GB179" s="20"/>
      <c r="GC179" s="20"/>
      <c r="GD179" s="20"/>
      <c r="GE179" s="20"/>
      <c r="GF179" s="20"/>
      <c r="GG179" s="20"/>
      <c r="GH179" s="20"/>
      <c r="GI179" s="20"/>
      <c r="GJ179" s="20"/>
      <c r="GK179" s="20"/>
    </row>
    <row r="180" spans="1:193" ht="18" customHeight="1">
      <c r="A180" s="9" t="str">
        <f t="shared" si="5"/>
        <v/>
      </c>
      <c r="B180" s="10"/>
      <c r="C180" s="11"/>
      <c r="D180" s="10"/>
      <c r="E180" s="11"/>
      <c r="F180" s="11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  <c r="AY180" s="14"/>
      <c r="AZ180" s="14"/>
      <c r="BA180" s="14"/>
      <c r="BB180" s="14"/>
      <c r="BC180" s="15"/>
      <c r="BD180" s="15"/>
      <c r="BE180" s="15"/>
      <c r="BF180" s="15"/>
      <c r="BG180" s="15"/>
      <c r="BH180" s="15"/>
      <c r="BI180" s="15"/>
      <c r="BJ180" s="15"/>
      <c r="BK180" s="15"/>
      <c r="BL180" s="15"/>
      <c r="BM180" s="15"/>
      <c r="BN180" s="15"/>
      <c r="BO180" s="15"/>
      <c r="BP180" s="15"/>
      <c r="BQ180" s="15"/>
      <c r="BR180" s="15"/>
      <c r="BS180" s="12"/>
      <c r="BT180" s="12"/>
      <c r="BU180" s="12"/>
      <c r="BV180" s="12"/>
      <c r="BW180" s="12"/>
      <c r="BX180" s="12"/>
      <c r="BY180" s="12"/>
      <c r="BZ180" s="12"/>
      <c r="CA180" s="12"/>
      <c r="CB180" s="12"/>
      <c r="CC180" s="12"/>
      <c r="CD180" s="12"/>
      <c r="CE180" s="12"/>
      <c r="CF180" s="12"/>
      <c r="CG180" s="12"/>
      <c r="CH180" s="12"/>
      <c r="CI180" s="12"/>
      <c r="CJ180" s="12"/>
      <c r="CK180" s="12"/>
      <c r="CL180" s="12"/>
      <c r="CM180" s="15"/>
      <c r="CN180" s="15"/>
      <c r="CO180" s="15"/>
      <c r="CP180" s="15"/>
      <c r="CQ180" s="15"/>
      <c r="CR180" s="15"/>
      <c r="CS180" s="15"/>
      <c r="CT180" s="15"/>
      <c r="CU180" s="15"/>
      <c r="CV180" s="15"/>
      <c r="CW180" s="15"/>
      <c r="CX180" s="15"/>
      <c r="CY180" s="15"/>
      <c r="CZ180" s="15"/>
      <c r="DA180" s="15"/>
      <c r="DB180" s="15"/>
      <c r="DC180" s="15"/>
      <c r="DD180" s="15"/>
      <c r="DE180" s="15"/>
      <c r="DF180" s="15"/>
      <c r="DG180" s="14"/>
      <c r="DH180" s="14"/>
      <c r="DI180" s="14"/>
      <c r="DJ180" s="14"/>
      <c r="DK180" s="14"/>
      <c r="DL180" s="14"/>
      <c r="DM180" s="14"/>
      <c r="DN180" s="14"/>
      <c r="DO180" s="14"/>
      <c r="DP180" s="14"/>
      <c r="DQ180" s="14"/>
      <c r="DR180" s="14"/>
      <c r="DS180" s="14"/>
      <c r="DT180" s="14"/>
      <c r="DU180" s="14"/>
      <c r="DV180" s="14"/>
      <c r="DW180" s="14"/>
      <c r="DX180" s="14"/>
      <c r="DY180" s="14"/>
      <c r="DZ180" s="14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6"/>
      <c r="EV180" s="16"/>
      <c r="EW180" s="16"/>
      <c r="EX180" s="16"/>
      <c r="EY180" s="16"/>
      <c r="EZ180" s="16"/>
      <c r="FA180" s="16"/>
      <c r="FB180" s="16"/>
      <c r="FC180" s="16"/>
      <c r="FD180" s="16"/>
      <c r="FE180" s="16"/>
      <c r="FF180" s="16"/>
      <c r="FG180" s="16"/>
      <c r="FH180" s="16"/>
      <c r="FI180" s="16"/>
      <c r="FJ180" s="16"/>
      <c r="FK180" s="16"/>
      <c r="FL180" s="16"/>
      <c r="FM180" s="16"/>
      <c r="FN180" s="16"/>
      <c r="FO180" s="17"/>
      <c r="FP180" s="17"/>
      <c r="FQ180" s="17"/>
      <c r="FR180" s="17"/>
      <c r="FS180" s="17"/>
      <c r="FT180" s="17"/>
      <c r="FU180" s="17"/>
      <c r="FV180" s="17"/>
      <c r="FW180" s="17"/>
      <c r="FX180" s="17"/>
      <c r="FY180" s="17"/>
      <c r="FZ180" s="17"/>
      <c r="GA180" s="17"/>
      <c r="GB180" s="17"/>
      <c r="GC180" s="17"/>
      <c r="GD180" s="13"/>
      <c r="GE180" s="13"/>
      <c r="GF180" s="13"/>
      <c r="GG180" s="13"/>
      <c r="GH180" s="13"/>
      <c r="GI180" s="13"/>
      <c r="GJ180" s="13"/>
      <c r="GK180" s="13"/>
    </row>
    <row r="181" spans="1:193" ht="18" customHeight="1">
      <c r="A181" s="18" t="str">
        <f t="shared" si="5"/>
        <v/>
      </c>
      <c r="B181" s="19"/>
      <c r="C181" s="20"/>
      <c r="D181" s="19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20"/>
      <c r="BJ181" s="20"/>
      <c r="BK181" s="20"/>
      <c r="BL181" s="20"/>
      <c r="BM181" s="20"/>
      <c r="BN181" s="20"/>
      <c r="BO181" s="20"/>
      <c r="BP181" s="20"/>
      <c r="BQ181" s="20"/>
      <c r="BR181" s="20"/>
      <c r="BS181" s="20"/>
      <c r="BT181" s="20"/>
      <c r="BU181" s="20"/>
      <c r="BV181" s="20"/>
      <c r="BW181" s="20"/>
      <c r="BX181" s="20"/>
      <c r="BY181" s="20"/>
      <c r="BZ181" s="20"/>
      <c r="CA181" s="20"/>
      <c r="CB181" s="20"/>
      <c r="CC181" s="20"/>
      <c r="CD181" s="20"/>
      <c r="CE181" s="20"/>
      <c r="CF181" s="20"/>
      <c r="CG181" s="20"/>
      <c r="CH181" s="20"/>
      <c r="CI181" s="20"/>
      <c r="CJ181" s="20"/>
      <c r="CK181" s="20"/>
      <c r="CL181" s="20"/>
      <c r="CM181" s="20"/>
      <c r="CN181" s="20"/>
      <c r="CO181" s="20"/>
      <c r="CP181" s="20"/>
      <c r="CQ181" s="20"/>
      <c r="CR181" s="20"/>
      <c r="CS181" s="20"/>
      <c r="CT181" s="20"/>
      <c r="CU181" s="20"/>
      <c r="CV181" s="20"/>
      <c r="CW181" s="20"/>
      <c r="CX181" s="20"/>
      <c r="CY181" s="20"/>
      <c r="CZ181" s="20"/>
      <c r="DA181" s="20"/>
      <c r="DB181" s="20"/>
      <c r="DC181" s="20"/>
      <c r="DD181" s="20"/>
      <c r="DE181" s="20"/>
      <c r="DF181" s="20"/>
      <c r="DG181" s="20"/>
      <c r="DH181" s="20"/>
      <c r="DI181" s="20"/>
      <c r="DJ181" s="20"/>
      <c r="DK181" s="20"/>
      <c r="DL181" s="20"/>
      <c r="DM181" s="20"/>
      <c r="DN181" s="20"/>
      <c r="DO181" s="20"/>
      <c r="DP181" s="20"/>
      <c r="DQ181" s="20"/>
      <c r="DR181" s="20"/>
      <c r="DS181" s="20"/>
      <c r="DT181" s="20"/>
      <c r="DU181" s="20"/>
      <c r="DV181" s="20"/>
      <c r="DW181" s="20"/>
      <c r="DX181" s="20"/>
      <c r="DY181" s="20"/>
      <c r="DZ181" s="20"/>
      <c r="EA181" s="20"/>
      <c r="EB181" s="20"/>
      <c r="EC181" s="20"/>
      <c r="ED181" s="20"/>
      <c r="EE181" s="20"/>
      <c r="EF181" s="20"/>
      <c r="EG181" s="20"/>
      <c r="EH181" s="20"/>
      <c r="EI181" s="20"/>
      <c r="EJ181" s="20"/>
      <c r="EK181" s="20"/>
      <c r="EL181" s="20"/>
      <c r="EM181" s="20"/>
      <c r="EN181" s="20"/>
      <c r="EO181" s="20"/>
      <c r="EP181" s="20"/>
      <c r="EQ181" s="20"/>
      <c r="ER181" s="20"/>
      <c r="ES181" s="20"/>
      <c r="ET181" s="20"/>
      <c r="EU181" s="20"/>
      <c r="EV181" s="20"/>
      <c r="EW181" s="20"/>
      <c r="EX181" s="20"/>
      <c r="EY181" s="20"/>
      <c r="EZ181" s="20"/>
      <c r="FA181" s="20"/>
      <c r="FB181" s="20"/>
      <c r="FC181" s="20"/>
      <c r="FD181" s="20"/>
      <c r="FE181" s="20"/>
      <c r="FF181" s="20"/>
      <c r="FG181" s="20"/>
      <c r="FH181" s="20"/>
      <c r="FI181" s="20"/>
      <c r="FJ181" s="20"/>
      <c r="FK181" s="20"/>
      <c r="FL181" s="20"/>
      <c r="FM181" s="20"/>
      <c r="FN181" s="20"/>
      <c r="FO181" s="20"/>
      <c r="FP181" s="20"/>
      <c r="FQ181" s="20"/>
      <c r="FR181" s="20"/>
      <c r="FS181" s="20"/>
      <c r="FT181" s="20"/>
      <c r="FU181" s="20"/>
      <c r="FV181" s="20"/>
      <c r="FW181" s="20"/>
      <c r="FX181" s="20"/>
      <c r="FY181" s="20"/>
      <c r="FZ181" s="20"/>
      <c r="GA181" s="20"/>
      <c r="GB181" s="20"/>
      <c r="GC181" s="20"/>
      <c r="GD181" s="20"/>
      <c r="GE181" s="20"/>
      <c r="GF181" s="20"/>
      <c r="GG181" s="20"/>
      <c r="GH181" s="20"/>
      <c r="GI181" s="20"/>
      <c r="GJ181" s="20"/>
      <c r="GK181" s="20"/>
    </row>
    <row r="182" spans="1:193" ht="18" customHeight="1">
      <c r="A182" s="9" t="str">
        <f t="shared" si="5"/>
        <v/>
      </c>
      <c r="B182" s="10"/>
      <c r="C182" s="11"/>
      <c r="D182" s="10"/>
      <c r="E182" s="11"/>
      <c r="F182" s="11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  <c r="AY182" s="14"/>
      <c r="AZ182" s="14"/>
      <c r="BA182" s="14"/>
      <c r="BB182" s="14"/>
      <c r="BC182" s="15"/>
      <c r="BD182" s="15"/>
      <c r="BE182" s="15"/>
      <c r="BF182" s="15"/>
      <c r="BG182" s="15"/>
      <c r="BH182" s="15"/>
      <c r="BI182" s="15"/>
      <c r="BJ182" s="15"/>
      <c r="BK182" s="15"/>
      <c r="BL182" s="15"/>
      <c r="BM182" s="15"/>
      <c r="BN182" s="15"/>
      <c r="BO182" s="15"/>
      <c r="BP182" s="15"/>
      <c r="BQ182" s="15"/>
      <c r="BR182" s="15"/>
      <c r="BS182" s="12"/>
      <c r="BT182" s="12"/>
      <c r="BU182" s="12"/>
      <c r="BV182" s="12"/>
      <c r="BW182" s="12"/>
      <c r="BX182" s="12"/>
      <c r="BY182" s="12"/>
      <c r="BZ182" s="12"/>
      <c r="CA182" s="12"/>
      <c r="CB182" s="12"/>
      <c r="CC182" s="12"/>
      <c r="CD182" s="12"/>
      <c r="CE182" s="12"/>
      <c r="CF182" s="12"/>
      <c r="CG182" s="12"/>
      <c r="CH182" s="12"/>
      <c r="CI182" s="12"/>
      <c r="CJ182" s="12"/>
      <c r="CK182" s="12"/>
      <c r="CL182" s="12"/>
      <c r="CM182" s="15"/>
      <c r="CN182" s="15"/>
      <c r="CO182" s="15"/>
      <c r="CP182" s="15"/>
      <c r="CQ182" s="15"/>
      <c r="CR182" s="15"/>
      <c r="CS182" s="15"/>
      <c r="CT182" s="15"/>
      <c r="CU182" s="15"/>
      <c r="CV182" s="15"/>
      <c r="CW182" s="15"/>
      <c r="CX182" s="15"/>
      <c r="CY182" s="15"/>
      <c r="CZ182" s="15"/>
      <c r="DA182" s="15"/>
      <c r="DB182" s="15"/>
      <c r="DC182" s="15"/>
      <c r="DD182" s="15"/>
      <c r="DE182" s="15"/>
      <c r="DF182" s="15"/>
      <c r="DG182" s="14"/>
      <c r="DH182" s="14"/>
      <c r="DI182" s="14"/>
      <c r="DJ182" s="14"/>
      <c r="DK182" s="14"/>
      <c r="DL182" s="14"/>
      <c r="DM182" s="14"/>
      <c r="DN182" s="14"/>
      <c r="DO182" s="14"/>
      <c r="DP182" s="14"/>
      <c r="DQ182" s="14"/>
      <c r="DR182" s="14"/>
      <c r="DS182" s="14"/>
      <c r="DT182" s="14"/>
      <c r="DU182" s="14"/>
      <c r="DV182" s="14"/>
      <c r="DW182" s="14"/>
      <c r="DX182" s="14"/>
      <c r="DY182" s="14"/>
      <c r="DZ182" s="14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6"/>
      <c r="EV182" s="16"/>
      <c r="EW182" s="16"/>
      <c r="EX182" s="16"/>
      <c r="EY182" s="16"/>
      <c r="EZ182" s="16"/>
      <c r="FA182" s="16"/>
      <c r="FB182" s="16"/>
      <c r="FC182" s="16"/>
      <c r="FD182" s="16"/>
      <c r="FE182" s="16"/>
      <c r="FF182" s="16"/>
      <c r="FG182" s="16"/>
      <c r="FH182" s="16"/>
      <c r="FI182" s="16"/>
      <c r="FJ182" s="16"/>
      <c r="FK182" s="16"/>
      <c r="FL182" s="16"/>
      <c r="FM182" s="16"/>
      <c r="FN182" s="16"/>
      <c r="FO182" s="17"/>
      <c r="FP182" s="17"/>
      <c r="FQ182" s="17"/>
      <c r="FR182" s="17"/>
      <c r="FS182" s="17"/>
      <c r="FT182" s="17"/>
      <c r="FU182" s="17"/>
      <c r="FV182" s="17"/>
      <c r="FW182" s="17"/>
      <c r="FX182" s="17"/>
      <c r="FY182" s="17"/>
      <c r="FZ182" s="17"/>
      <c r="GA182" s="17"/>
      <c r="GB182" s="17"/>
      <c r="GC182" s="17"/>
      <c r="GD182" s="13"/>
      <c r="GE182" s="13"/>
      <c r="GF182" s="13"/>
      <c r="GG182" s="13"/>
      <c r="GH182" s="13"/>
      <c r="GI182" s="13"/>
      <c r="GJ182" s="13"/>
      <c r="GK182" s="13"/>
    </row>
    <row r="183" spans="1:193" ht="18" customHeight="1">
      <c r="A183" s="18" t="str">
        <f t="shared" si="5"/>
        <v/>
      </c>
      <c r="B183" s="19"/>
      <c r="C183" s="20"/>
      <c r="D183" s="19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20"/>
      <c r="BI183" s="20"/>
      <c r="BJ183" s="20"/>
      <c r="BK183" s="20"/>
      <c r="BL183" s="20"/>
      <c r="BM183" s="20"/>
      <c r="BN183" s="20"/>
      <c r="BO183" s="20"/>
      <c r="BP183" s="20"/>
      <c r="BQ183" s="20"/>
      <c r="BR183" s="20"/>
      <c r="BS183" s="20"/>
      <c r="BT183" s="20"/>
      <c r="BU183" s="20"/>
      <c r="BV183" s="20"/>
      <c r="BW183" s="20"/>
      <c r="BX183" s="20"/>
      <c r="BY183" s="20"/>
      <c r="BZ183" s="20"/>
      <c r="CA183" s="20"/>
      <c r="CB183" s="20"/>
      <c r="CC183" s="20"/>
      <c r="CD183" s="20"/>
      <c r="CE183" s="20"/>
      <c r="CF183" s="20"/>
      <c r="CG183" s="20"/>
      <c r="CH183" s="20"/>
      <c r="CI183" s="20"/>
      <c r="CJ183" s="20"/>
      <c r="CK183" s="20"/>
      <c r="CL183" s="20"/>
      <c r="CM183" s="20"/>
      <c r="CN183" s="20"/>
      <c r="CO183" s="20"/>
      <c r="CP183" s="20"/>
      <c r="CQ183" s="20"/>
      <c r="CR183" s="20"/>
      <c r="CS183" s="20"/>
      <c r="CT183" s="20"/>
      <c r="CU183" s="20"/>
      <c r="CV183" s="20"/>
      <c r="CW183" s="20"/>
      <c r="CX183" s="20"/>
      <c r="CY183" s="20"/>
      <c r="CZ183" s="20"/>
      <c r="DA183" s="20"/>
      <c r="DB183" s="20"/>
      <c r="DC183" s="20"/>
      <c r="DD183" s="20"/>
      <c r="DE183" s="20"/>
      <c r="DF183" s="20"/>
      <c r="DG183" s="20"/>
      <c r="DH183" s="20"/>
      <c r="DI183" s="20"/>
      <c r="DJ183" s="20"/>
      <c r="DK183" s="20"/>
      <c r="DL183" s="20"/>
      <c r="DM183" s="20"/>
      <c r="DN183" s="20"/>
      <c r="DO183" s="20"/>
      <c r="DP183" s="20"/>
      <c r="DQ183" s="20"/>
      <c r="DR183" s="20"/>
      <c r="DS183" s="20"/>
      <c r="DT183" s="20"/>
      <c r="DU183" s="20"/>
      <c r="DV183" s="20"/>
      <c r="DW183" s="20"/>
      <c r="DX183" s="20"/>
      <c r="DY183" s="20"/>
      <c r="DZ183" s="20"/>
      <c r="EA183" s="20"/>
      <c r="EB183" s="20"/>
      <c r="EC183" s="20"/>
      <c r="ED183" s="20"/>
      <c r="EE183" s="20"/>
      <c r="EF183" s="20"/>
      <c r="EG183" s="20"/>
      <c r="EH183" s="20"/>
      <c r="EI183" s="20"/>
      <c r="EJ183" s="20"/>
      <c r="EK183" s="20"/>
      <c r="EL183" s="20"/>
      <c r="EM183" s="20"/>
      <c r="EN183" s="20"/>
      <c r="EO183" s="20"/>
      <c r="EP183" s="20"/>
      <c r="EQ183" s="20"/>
      <c r="ER183" s="20"/>
      <c r="ES183" s="20"/>
      <c r="ET183" s="20"/>
      <c r="EU183" s="20"/>
      <c r="EV183" s="20"/>
      <c r="EW183" s="20"/>
      <c r="EX183" s="20"/>
      <c r="EY183" s="20"/>
      <c r="EZ183" s="20"/>
      <c r="FA183" s="20"/>
      <c r="FB183" s="20"/>
      <c r="FC183" s="20"/>
      <c r="FD183" s="20"/>
      <c r="FE183" s="20"/>
      <c r="FF183" s="20"/>
      <c r="FG183" s="20"/>
      <c r="FH183" s="20"/>
      <c r="FI183" s="20"/>
      <c r="FJ183" s="20"/>
      <c r="FK183" s="20"/>
      <c r="FL183" s="20"/>
      <c r="FM183" s="20"/>
      <c r="FN183" s="20"/>
      <c r="FO183" s="20"/>
      <c r="FP183" s="20"/>
      <c r="FQ183" s="20"/>
      <c r="FR183" s="20"/>
      <c r="FS183" s="20"/>
      <c r="FT183" s="20"/>
      <c r="FU183" s="20"/>
      <c r="FV183" s="20"/>
      <c r="FW183" s="20"/>
      <c r="FX183" s="20"/>
      <c r="FY183" s="20"/>
      <c r="FZ183" s="20"/>
      <c r="GA183" s="20"/>
      <c r="GB183" s="20"/>
      <c r="GC183" s="20"/>
      <c r="GD183" s="20"/>
      <c r="GE183" s="20"/>
      <c r="GF183" s="20"/>
      <c r="GG183" s="20"/>
      <c r="GH183" s="20"/>
      <c r="GI183" s="20"/>
      <c r="GJ183" s="20"/>
      <c r="GK183" s="20"/>
    </row>
    <row r="184" spans="1:193" ht="18" customHeight="1">
      <c r="A184" s="9" t="str">
        <f t="shared" si="5"/>
        <v/>
      </c>
      <c r="B184" s="10"/>
      <c r="C184" s="11"/>
      <c r="D184" s="10"/>
      <c r="E184" s="11"/>
      <c r="F184" s="11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4"/>
      <c r="AN184" s="14"/>
      <c r="AO184" s="14"/>
      <c r="AP184" s="14"/>
      <c r="AQ184" s="14"/>
      <c r="AR184" s="14"/>
      <c r="AS184" s="14"/>
      <c r="AT184" s="14"/>
      <c r="AU184" s="14"/>
      <c r="AV184" s="14"/>
      <c r="AW184" s="14"/>
      <c r="AX184" s="14"/>
      <c r="AY184" s="14"/>
      <c r="AZ184" s="14"/>
      <c r="BA184" s="14"/>
      <c r="BB184" s="14"/>
      <c r="BC184" s="15"/>
      <c r="BD184" s="15"/>
      <c r="BE184" s="15"/>
      <c r="BF184" s="15"/>
      <c r="BG184" s="15"/>
      <c r="BH184" s="15"/>
      <c r="BI184" s="15"/>
      <c r="BJ184" s="15"/>
      <c r="BK184" s="15"/>
      <c r="BL184" s="15"/>
      <c r="BM184" s="15"/>
      <c r="BN184" s="15"/>
      <c r="BO184" s="15"/>
      <c r="BP184" s="15"/>
      <c r="BQ184" s="15"/>
      <c r="BR184" s="15"/>
      <c r="BS184" s="12"/>
      <c r="BT184" s="12"/>
      <c r="BU184" s="12"/>
      <c r="BV184" s="12"/>
      <c r="BW184" s="12"/>
      <c r="BX184" s="12"/>
      <c r="BY184" s="12"/>
      <c r="BZ184" s="12"/>
      <c r="CA184" s="12"/>
      <c r="CB184" s="12"/>
      <c r="CC184" s="12"/>
      <c r="CD184" s="12"/>
      <c r="CE184" s="12"/>
      <c r="CF184" s="12"/>
      <c r="CG184" s="12"/>
      <c r="CH184" s="12"/>
      <c r="CI184" s="12"/>
      <c r="CJ184" s="12"/>
      <c r="CK184" s="12"/>
      <c r="CL184" s="12"/>
      <c r="CM184" s="15"/>
      <c r="CN184" s="15"/>
      <c r="CO184" s="15"/>
      <c r="CP184" s="15"/>
      <c r="CQ184" s="15"/>
      <c r="CR184" s="15"/>
      <c r="CS184" s="15"/>
      <c r="CT184" s="15"/>
      <c r="CU184" s="15"/>
      <c r="CV184" s="15"/>
      <c r="CW184" s="15"/>
      <c r="CX184" s="15"/>
      <c r="CY184" s="15"/>
      <c r="CZ184" s="15"/>
      <c r="DA184" s="15"/>
      <c r="DB184" s="15"/>
      <c r="DC184" s="15"/>
      <c r="DD184" s="15"/>
      <c r="DE184" s="15"/>
      <c r="DF184" s="15"/>
      <c r="DG184" s="14"/>
      <c r="DH184" s="14"/>
      <c r="DI184" s="14"/>
      <c r="DJ184" s="14"/>
      <c r="DK184" s="14"/>
      <c r="DL184" s="14"/>
      <c r="DM184" s="14"/>
      <c r="DN184" s="14"/>
      <c r="DO184" s="14"/>
      <c r="DP184" s="14"/>
      <c r="DQ184" s="14"/>
      <c r="DR184" s="14"/>
      <c r="DS184" s="14"/>
      <c r="DT184" s="14"/>
      <c r="DU184" s="14"/>
      <c r="DV184" s="14"/>
      <c r="DW184" s="14"/>
      <c r="DX184" s="14"/>
      <c r="DY184" s="14"/>
      <c r="DZ184" s="14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6"/>
      <c r="EV184" s="16"/>
      <c r="EW184" s="16"/>
      <c r="EX184" s="16"/>
      <c r="EY184" s="16"/>
      <c r="EZ184" s="16"/>
      <c r="FA184" s="16"/>
      <c r="FB184" s="16"/>
      <c r="FC184" s="16"/>
      <c r="FD184" s="16"/>
      <c r="FE184" s="16"/>
      <c r="FF184" s="16"/>
      <c r="FG184" s="16"/>
      <c r="FH184" s="16"/>
      <c r="FI184" s="16"/>
      <c r="FJ184" s="16"/>
      <c r="FK184" s="16"/>
      <c r="FL184" s="16"/>
      <c r="FM184" s="16"/>
      <c r="FN184" s="16"/>
      <c r="FO184" s="17"/>
      <c r="FP184" s="17"/>
      <c r="FQ184" s="17"/>
      <c r="FR184" s="17"/>
      <c r="FS184" s="17"/>
      <c r="FT184" s="17"/>
      <c r="FU184" s="17"/>
      <c r="FV184" s="17"/>
      <c r="FW184" s="17"/>
      <c r="FX184" s="17"/>
      <c r="FY184" s="17"/>
      <c r="FZ184" s="17"/>
      <c r="GA184" s="17"/>
      <c r="GB184" s="17"/>
      <c r="GC184" s="17"/>
      <c r="GD184" s="13"/>
      <c r="GE184" s="13"/>
      <c r="GF184" s="13"/>
      <c r="GG184" s="13"/>
      <c r="GH184" s="13"/>
      <c r="GI184" s="13"/>
      <c r="GJ184" s="13"/>
      <c r="GK184" s="13"/>
    </row>
    <row r="185" spans="1:193" ht="18" customHeight="1">
      <c r="A185" s="18" t="str">
        <f t="shared" si="5"/>
        <v/>
      </c>
      <c r="B185" s="19"/>
      <c r="C185" s="20"/>
      <c r="D185" s="19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  <c r="BG185" s="20"/>
      <c r="BH185" s="20"/>
      <c r="BI185" s="20"/>
      <c r="BJ185" s="20"/>
      <c r="BK185" s="20"/>
      <c r="BL185" s="20"/>
      <c r="BM185" s="20"/>
      <c r="BN185" s="20"/>
      <c r="BO185" s="20"/>
      <c r="BP185" s="20"/>
      <c r="BQ185" s="20"/>
      <c r="BR185" s="20"/>
      <c r="BS185" s="20"/>
      <c r="BT185" s="20"/>
      <c r="BU185" s="20"/>
      <c r="BV185" s="20"/>
      <c r="BW185" s="20"/>
      <c r="BX185" s="20"/>
      <c r="BY185" s="20"/>
      <c r="BZ185" s="20"/>
      <c r="CA185" s="20"/>
      <c r="CB185" s="20"/>
      <c r="CC185" s="20"/>
      <c r="CD185" s="20"/>
      <c r="CE185" s="20"/>
      <c r="CF185" s="20"/>
      <c r="CG185" s="20"/>
      <c r="CH185" s="20"/>
      <c r="CI185" s="20"/>
      <c r="CJ185" s="20"/>
      <c r="CK185" s="20"/>
      <c r="CL185" s="20"/>
      <c r="CM185" s="20"/>
      <c r="CN185" s="20"/>
      <c r="CO185" s="20"/>
      <c r="CP185" s="20"/>
      <c r="CQ185" s="20"/>
      <c r="CR185" s="20"/>
      <c r="CS185" s="20"/>
      <c r="CT185" s="20"/>
      <c r="CU185" s="20"/>
      <c r="CV185" s="20"/>
      <c r="CW185" s="20"/>
      <c r="CX185" s="20"/>
      <c r="CY185" s="20"/>
      <c r="CZ185" s="20"/>
      <c r="DA185" s="20"/>
      <c r="DB185" s="20"/>
      <c r="DC185" s="20"/>
      <c r="DD185" s="20"/>
      <c r="DE185" s="20"/>
      <c r="DF185" s="20"/>
      <c r="DG185" s="20"/>
      <c r="DH185" s="20"/>
      <c r="DI185" s="20"/>
      <c r="DJ185" s="20"/>
      <c r="DK185" s="20"/>
      <c r="DL185" s="20"/>
      <c r="DM185" s="20"/>
      <c r="DN185" s="20"/>
      <c r="DO185" s="20"/>
      <c r="DP185" s="20"/>
      <c r="DQ185" s="20"/>
      <c r="DR185" s="20"/>
      <c r="DS185" s="20"/>
      <c r="DT185" s="20"/>
      <c r="DU185" s="20"/>
      <c r="DV185" s="20"/>
      <c r="DW185" s="20"/>
      <c r="DX185" s="20"/>
      <c r="DY185" s="20"/>
      <c r="DZ185" s="20"/>
      <c r="EA185" s="20"/>
      <c r="EB185" s="20"/>
      <c r="EC185" s="20"/>
      <c r="ED185" s="20"/>
      <c r="EE185" s="20"/>
      <c r="EF185" s="20"/>
      <c r="EG185" s="20"/>
      <c r="EH185" s="20"/>
      <c r="EI185" s="20"/>
      <c r="EJ185" s="20"/>
      <c r="EK185" s="20"/>
      <c r="EL185" s="20"/>
      <c r="EM185" s="20"/>
      <c r="EN185" s="20"/>
      <c r="EO185" s="20"/>
      <c r="EP185" s="20"/>
      <c r="EQ185" s="20"/>
      <c r="ER185" s="20"/>
      <c r="ES185" s="20"/>
      <c r="ET185" s="20"/>
      <c r="EU185" s="20"/>
      <c r="EV185" s="20"/>
      <c r="EW185" s="20"/>
      <c r="EX185" s="20"/>
      <c r="EY185" s="20"/>
      <c r="EZ185" s="20"/>
      <c r="FA185" s="20"/>
      <c r="FB185" s="20"/>
      <c r="FC185" s="20"/>
      <c r="FD185" s="20"/>
      <c r="FE185" s="20"/>
      <c r="FF185" s="20"/>
      <c r="FG185" s="20"/>
      <c r="FH185" s="20"/>
      <c r="FI185" s="20"/>
      <c r="FJ185" s="20"/>
      <c r="FK185" s="20"/>
      <c r="FL185" s="20"/>
      <c r="FM185" s="20"/>
      <c r="FN185" s="20"/>
      <c r="FO185" s="20"/>
      <c r="FP185" s="20"/>
      <c r="FQ185" s="20"/>
      <c r="FR185" s="20"/>
      <c r="FS185" s="20"/>
      <c r="FT185" s="20"/>
      <c r="FU185" s="20"/>
      <c r="FV185" s="20"/>
      <c r="FW185" s="20"/>
      <c r="FX185" s="20"/>
      <c r="FY185" s="20"/>
      <c r="FZ185" s="20"/>
      <c r="GA185" s="20"/>
      <c r="GB185" s="20"/>
      <c r="GC185" s="20"/>
      <c r="GD185" s="20"/>
      <c r="GE185" s="20"/>
      <c r="GF185" s="20"/>
      <c r="GG185" s="20"/>
      <c r="GH185" s="20"/>
      <c r="GI185" s="20"/>
      <c r="GJ185" s="20"/>
      <c r="GK185" s="20"/>
    </row>
    <row r="186" spans="1:193" ht="18" customHeight="1">
      <c r="A186" s="9" t="str">
        <f t="shared" si="5"/>
        <v/>
      </c>
      <c r="B186" s="10"/>
      <c r="C186" s="11"/>
      <c r="D186" s="10"/>
      <c r="E186" s="11"/>
      <c r="F186" s="11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4"/>
      <c r="AN186" s="14"/>
      <c r="AO186" s="14"/>
      <c r="AP186" s="14"/>
      <c r="AQ186" s="14"/>
      <c r="AR186" s="14"/>
      <c r="AS186" s="14"/>
      <c r="AT186" s="14"/>
      <c r="AU186" s="14"/>
      <c r="AV186" s="14"/>
      <c r="AW186" s="14"/>
      <c r="AX186" s="14"/>
      <c r="AY186" s="14"/>
      <c r="AZ186" s="14"/>
      <c r="BA186" s="14"/>
      <c r="BB186" s="14"/>
      <c r="BC186" s="15"/>
      <c r="BD186" s="15"/>
      <c r="BE186" s="15"/>
      <c r="BF186" s="15"/>
      <c r="BG186" s="15"/>
      <c r="BH186" s="15"/>
      <c r="BI186" s="15"/>
      <c r="BJ186" s="15"/>
      <c r="BK186" s="15"/>
      <c r="BL186" s="15"/>
      <c r="BM186" s="15"/>
      <c r="BN186" s="15"/>
      <c r="BO186" s="15"/>
      <c r="BP186" s="15"/>
      <c r="BQ186" s="15"/>
      <c r="BR186" s="15"/>
      <c r="BS186" s="12"/>
      <c r="BT186" s="12"/>
      <c r="BU186" s="12"/>
      <c r="BV186" s="12"/>
      <c r="BW186" s="12"/>
      <c r="BX186" s="12"/>
      <c r="BY186" s="12"/>
      <c r="BZ186" s="12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5"/>
      <c r="CN186" s="15"/>
      <c r="CO186" s="15"/>
      <c r="CP186" s="15"/>
      <c r="CQ186" s="15"/>
      <c r="CR186" s="15"/>
      <c r="CS186" s="15"/>
      <c r="CT186" s="15"/>
      <c r="CU186" s="15"/>
      <c r="CV186" s="15"/>
      <c r="CW186" s="15"/>
      <c r="CX186" s="15"/>
      <c r="CY186" s="15"/>
      <c r="CZ186" s="15"/>
      <c r="DA186" s="15"/>
      <c r="DB186" s="15"/>
      <c r="DC186" s="15"/>
      <c r="DD186" s="15"/>
      <c r="DE186" s="15"/>
      <c r="DF186" s="15"/>
      <c r="DG186" s="14"/>
      <c r="DH186" s="14"/>
      <c r="DI186" s="14"/>
      <c r="DJ186" s="14"/>
      <c r="DK186" s="14"/>
      <c r="DL186" s="14"/>
      <c r="DM186" s="14"/>
      <c r="DN186" s="14"/>
      <c r="DO186" s="14"/>
      <c r="DP186" s="14"/>
      <c r="DQ186" s="14"/>
      <c r="DR186" s="14"/>
      <c r="DS186" s="14"/>
      <c r="DT186" s="14"/>
      <c r="DU186" s="14"/>
      <c r="DV186" s="14"/>
      <c r="DW186" s="14"/>
      <c r="DX186" s="14"/>
      <c r="DY186" s="14"/>
      <c r="DZ186" s="14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6"/>
      <c r="EV186" s="16"/>
      <c r="EW186" s="16"/>
      <c r="EX186" s="16"/>
      <c r="EY186" s="16"/>
      <c r="EZ186" s="16"/>
      <c r="FA186" s="16"/>
      <c r="FB186" s="16"/>
      <c r="FC186" s="16"/>
      <c r="FD186" s="16"/>
      <c r="FE186" s="16"/>
      <c r="FF186" s="16"/>
      <c r="FG186" s="16"/>
      <c r="FH186" s="16"/>
      <c r="FI186" s="16"/>
      <c r="FJ186" s="16"/>
      <c r="FK186" s="16"/>
      <c r="FL186" s="16"/>
      <c r="FM186" s="16"/>
      <c r="FN186" s="16"/>
      <c r="FO186" s="17"/>
      <c r="FP186" s="17"/>
      <c r="FQ186" s="17"/>
      <c r="FR186" s="17"/>
      <c r="FS186" s="17"/>
      <c r="FT186" s="17"/>
      <c r="FU186" s="17"/>
      <c r="FV186" s="17"/>
      <c r="FW186" s="17"/>
      <c r="FX186" s="17"/>
      <c r="FY186" s="17"/>
      <c r="FZ186" s="17"/>
      <c r="GA186" s="17"/>
      <c r="GB186" s="17"/>
      <c r="GC186" s="17"/>
      <c r="GD186" s="13"/>
      <c r="GE186" s="13"/>
      <c r="GF186" s="13"/>
      <c r="GG186" s="13"/>
      <c r="GH186" s="13"/>
      <c r="GI186" s="13"/>
      <c r="GJ186" s="13"/>
      <c r="GK186" s="13"/>
    </row>
    <row r="187" spans="1:193" ht="18" customHeight="1">
      <c r="A187" s="18" t="str">
        <f t="shared" si="5"/>
        <v/>
      </c>
      <c r="B187" s="19"/>
      <c r="C187" s="20"/>
      <c r="D187" s="19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  <c r="BG187" s="20"/>
      <c r="BH187" s="20"/>
      <c r="BI187" s="20"/>
      <c r="BJ187" s="20"/>
      <c r="BK187" s="20"/>
      <c r="BL187" s="20"/>
      <c r="BM187" s="20"/>
      <c r="BN187" s="20"/>
      <c r="BO187" s="20"/>
      <c r="BP187" s="20"/>
      <c r="BQ187" s="20"/>
      <c r="BR187" s="20"/>
      <c r="BS187" s="20"/>
      <c r="BT187" s="20"/>
      <c r="BU187" s="20"/>
      <c r="BV187" s="20"/>
      <c r="BW187" s="20"/>
      <c r="BX187" s="20"/>
      <c r="BY187" s="20"/>
      <c r="BZ187" s="20"/>
      <c r="CA187" s="20"/>
      <c r="CB187" s="20"/>
      <c r="CC187" s="20"/>
      <c r="CD187" s="20"/>
      <c r="CE187" s="20"/>
      <c r="CF187" s="20"/>
      <c r="CG187" s="20"/>
      <c r="CH187" s="20"/>
      <c r="CI187" s="20"/>
      <c r="CJ187" s="20"/>
      <c r="CK187" s="20"/>
      <c r="CL187" s="20"/>
      <c r="CM187" s="20"/>
      <c r="CN187" s="20"/>
      <c r="CO187" s="20"/>
      <c r="CP187" s="20"/>
      <c r="CQ187" s="20"/>
      <c r="CR187" s="20"/>
      <c r="CS187" s="20"/>
      <c r="CT187" s="20"/>
      <c r="CU187" s="20"/>
      <c r="CV187" s="20"/>
      <c r="CW187" s="20"/>
      <c r="CX187" s="20"/>
      <c r="CY187" s="20"/>
      <c r="CZ187" s="20"/>
      <c r="DA187" s="20"/>
      <c r="DB187" s="20"/>
      <c r="DC187" s="20"/>
      <c r="DD187" s="20"/>
      <c r="DE187" s="20"/>
      <c r="DF187" s="20"/>
      <c r="DG187" s="20"/>
      <c r="DH187" s="20"/>
      <c r="DI187" s="20"/>
      <c r="DJ187" s="20"/>
      <c r="DK187" s="20"/>
      <c r="DL187" s="20"/>
      <c r="DM187" s="20"/>
      <c r="DN187" s="20"/>
      <c r="DO187" s="20"/>
      <c r="DP187" s="20"/>
      <c r="DQ187" s="20"/>
      <c r="DR187" s="20"/>
      <c r="DS187" s="20"/>
      <c r="DT187" s="20"/>
      <c r="DU187" s="20"/>
      <c r="DV187" s="20"/>
      <c r="DW187" s="20"/>
      <c r="DX187" s="20"/>
      <c r="DY187" s="20"/>
      <c r="DZ187" s="20"/>
      <c r="EA187" s="20"/>
      <c r="EB187" s="20"/>
      <c r="EC187" s="20"/>
      <c r="ED187" s="20"/>
      <c r="EE187" s="20"/>
      <c r="EF187" s="20"/>
      <c r="EG187" s="20"/>
      <c r="EH187" s="20"/>
      <c r="EI187" s="20"/>
      <c r="EJ187" s="20"/>
      <c r="EK187" s="20"/>
      <c r="EL187" s="20"/>
      <c r="EM187" s="20"/>
      <c r="EN187" s="20"/>
      <c r="EO187" s="20"/>
      <c r="EP187" s="20"/>
      <c r="EQ187" s="20"/>
      <c r="ER187" s="20"/>
      <c r="ES187" s="20"/>
      <c r="ET187" s="20"/>
      <c r="EU187" s="20"/>
      <c r="EV187" s="20"/>
      <c r="EW187" s="20"/>
      <c r="EX187" s="20"/>
      <c r="EY187" s="20"/>
      <c r="EZ187" s="20"/>
      <c r="FA187" s="20"/>
      <c r="FB187" s="20"/>
      <c r="FC187" s="20"/>
      <c r="FD187" s="20"/>
      <c r="FE187" s="20"/>
      <c r="FF187" s="20"/>
      <c r="FG187" s="20"/>
      <c r="FH187" s="20"/>
      <c r="FI187" s="20"/>
      <c r="FJ187" s="20"/>
      <c r="FK187" s="20"/>
      <c r="FL187" s="20"/>
      <c r="FM187" s="20"/>
      <c r="FN187" s="20"/>
      <c r="FO187" s="20"/>
      <c r="FP187" s="20"/>
      <c r="FQ187" s="20"/>
      <c r="FR187" s="20"/>
      <c r="FS187" s="20"/>
      <c r="FT187" s="20"/>
      <c r="FU187" s="20"/>
      <c r="FV187" s="20"/>
      <c r="FW187" s="20"/>
      <c r="FX187" s="20"/>
      <c r="FY187" s="20"/>
      <c r="FZ187" s="20"/>
      <c r="GA187" s="20"/>
      <c r="GB187" s="20"/>
      <c r="GC187" s="20"/>
      <c r="GD187" s="20"/>
      <c r="GE187" s="20"/>
      <c r="GF187" s="20"/>
      <c r="GG187" s="20"/>
      <c r="GH187" s="20"/>
      <c r="GI187" s="20"/>
      <c r="GJ187" s="20"/>
      <c r="GK187" s="20"/>
    </row>
    <row r="188" spans="1:193" ht="18" customHeight="1">
      <c r="A188" s="9" t="str">
        <f t="shared" si="5"/>
        <v/>
      </c>
      <c r="B188" s="10"/>
      <c r="C188" s="11"/>
      <c r="D188" s="10"/>
      <c r="E188" s="11"/>
      <c r="F188" s="11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4"/>
      <c r="AN188" s="14"/>
      <c r="AO188" s="14"/>
      <c r="AP188" s="14"/>
      <c r="AQ188" s="14"/>
      <c r="AR188" s="14"/>
      <c r="AS188" s="14"/>
      <c r="AT188" s="14"/>
      <c r="AU188" s="14"/>
      <c r="AV188" s="14"/>
      <c r="AW188" s="14"/>
      <c r="AX188" s="14"/>
      <c r="AY188" s="14"/>
      <c r="AZ188" s="14"/>
      <c r="BA188" s="14"/>
      <c r="BB188" s="14"/>
      <c r="BC188" s="15"/>
      <c r="BD188" s="15"/>
      <c r="BE188" s="15"/>
      <c r="BF188" s="15"/>
      <c r="BG188" s="15"/>
      <c r="BH188" s="15"/>
      <c r="BI188" s="15"/>
      <c r="BJ188" s="15"/>
      <c r="BK188" s="15"/>
      <c r="BL188" s="15"/>
      <c r="BM188" s="15"/>
      <c r="BN188" s="15"/>
      <c r="BO188" s="15"/>
      <c r="BP188" s="15"/>
      <c r="BQ188" s="15"/>
      <c r="BR188" s="15"/>
      <c r="BS188" s="12"/>
      <c r="BT188" s="12"/>
      <c r="BU188" s="12"/>
      <c r="BV188" s="12"/>
      <c r="BW188" s="12"/>
      <c r="BX188" s="12"/>
      <c r="BY188" s="12"/>
      <c r="BZ188" s="12"/>
      <c r="CA188" s="12"/>
      <c r="CB188" s="12"/>
      <c r="CC188" s="12"/>
      <c r="CD188" s="12"/>
      <c r="CE188" s="12"/>
      <c r="CF188" s="12"/>
      <c r="CG188" s="12"/>
      <c r="CH188" s="12"/>
      <c r="CI188" s="12"/>
      <c r="CJ188" s="12"/>
      <c r="CK188" s="12"/>
      <c r="CL188" s="12"/>
      <c r="CM188" s="15"/>
      <c r="CN188" s="15"/>
      <c r="CO188" s="15"/>
      <c r="CP188" s="15"/>
      <c r="CQ188" s="15"/>
      <c r="CR188" s="15"/>
      <c r="CS188" s="15"/>
      <c r="CT188" s="15"/>
      <c r="CU188" s="15"/>
      <c r="CV188" s="15"/>
      <c r="CW188" s="15"/>
      <c r="CX188" s="15"/>
      <c r="CY188" s="15"/>
      <c r="CZ188" s="15"/>
      <c r="DA188" s="15"/>
      <c r="DB188" s="15"/>
      <c r="DC188" s="15"/>
      <c r="DD188" s="15"/>
      <c r="DE188" s="15"/>
      <c r="DF188" s="15"/>
      <c r="DG188" s="14"/>
      <c r="DH188" s="14"/>
      <c r="DI188" s="14"/>
      <c r="DJ188" s="14"/>
      <c r="DK188" s="14"/>
      <c r="DL188" s="14"/>
      <c r="DM188" s="14"/>
      <c r="DN188" s="14"/>
      <c r="DO188" s="14"/>
      <c r="DP188" s="14"/>
      <c r="DQ188" s="14"/>
      <c r="DR188" s="14"/>
      <c r="DS188" s="14"/>
      <c r="DT188" s="14"/>
      <c r="DU188" s="14"/>
      <c r="DV188" s="14"/>
      <c r="DW188" s="14"/>
      <c r="DX188" s="14"/>
      <c r="DY188" s="14"/>
      <c r="DZ188" s="14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6"/>
      <c r="EV188" s="16"/>
      <c r="EW188" s="16"/>
      <c r="EX188" s="16"/>
      <c r="EY188" s="16"/>
      <c r="EZ188" s="16"/>
      <c r="FA188" s="16"/>
      <c r="FB188" s="16"/>
      <c r="FC188" s="16"/>
      <c r="FD188" s="16"/>
      <c r="FE188" s="16"/>
      <c r="FF188" s="16"/>
      <c r="FG188" s="16"/>
      <c r="FH188" s="16"/>
      <c r="FI188" s="16"/>
      <c r="FJ188" s="16"/>
      <c r="FK188" s="16"/>
      <c r="FL188" s="16"/>
      <c r="FM188" s="16"/>
      <c r="FN188" s="16"/>
      <c r="FO188" s="17"/>
      <c r="FP188" s="17"/>
      <c r="FQ188" s="17"/>
      <c r="FR188" s="17"/>
      <c r="FS188" s="17"/>
      <c r="FT188" s="17"/>
      <c r="FU188" s="17"/>
      <c r="FV188" s="17"/>
      <c r="FW188" s="17"/>
      <c r="FX188" s="17"/>
      <c r="FY188" s="17"/>
      <c r="FZ188" s="17"/>
      <c r="GA188" s="17"/>
      <c r="GB188" s="17"/>
      <c r="GC188" s="17"/>
      <c r="GD188" s="13"/>
      <c r="GE188" s="13"/>
      <c r="GF188" s="13"/>
      <c r="GG188" s="13"/>
      <c r="GH188" s="13"/>
      <c r="GI188" s="13"/>
      <c r="GJ188" s="13"/>
      <c r="GK188" s="13"/>
    </row>
    <row r="189" spans="1:193" ht="18" customHeight="1">
      <c r="A189" s="18" t="str">
        <f t="shared" si="5"/>
        <v/>
      </c>
      <c r="B189" s="19"/>
      <c r="C189" s="20"/>
      <c r="D189" s="19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20"/>
      <c r="BI189" s="20"/>
      <c r="BJ189" s="20"/>
      <c r="BK189" s="20"/>
      <c r="BL189" s="20"/>
      <c r="BM189" s="20"/>
      <c r="BN189" s="20"/>
      <c r="BO189" s="20"/>
      <c r="BP189" s="20"/>
      <c r="BQ189" s="20"/>
      <c r="BR189" s="20"/>
      <c r="BS189" s="20"/>
      <c r="BT189" s="20"/>
      <c r="BU189" s="20"/>
      <c r="BV189" s="20"/>
      <c r="BW189" s="20"/>
      <c r="BX189" s="20"/>
      <c r="BY189" s="20"/>
      <c r="BZ189" s="20"/>
      <c r="CA189" s="20"/>
      <c r="CB189" s="20"/>
      <c r="CC189" s="20"/>
      <c r="CD189" s="20"/>
      <c r="CE189" s="20"/>
      <c r="CF189" s="20"/>
      <c r="CG189" s="20"/>
      <c r="CH189" s="20"/>
      <c r="CI189" s="20"/>
      <c r="CJ189" s="20"/>
      <c r="CK189" s="20"/>
      <c r="CL189" s="20"/>
      <c r="CM189" s="20"/>
      <c r="CN189" s="20"/>
      <c r="CO189" s="20"/>
      <c r="CP189" s="20"/>
      <c r="CQ189" s="20"/>
      <c r="CR189" s="20"/>
      <c r="CS189" s="20"/>
      <c r="CT189" s="20"/>
      <c r="CU189" s="20"/>
      <c r="CV189" s="20"/>
      <c r="CW189" s="20"/>
      <c r="CX189" s="20"/>
      <c r="CY189" s="20"/>
      <c r="CZ189" s="20"/>
      <c r="DA189" s="20"/>
      <c r="DB189" s="20"/>
      <c r="DC189" s="20"/>
      <c r="DD189" s="20"/>
      <c r="DE189" s="20"/>
      <c r="DF189" s="20"/>
      <c r="DG189" s="20"/>
      <c r="DH189" s="20"/>
      <c r="DI189" s="20"/>
      <c r="DJ189" s="20"/>
      <c r="DK189" s="20"/>
      <c r="DL189" s="20"/>
      <c r="DM189" s="20"/>
      <c r="DN189" s="20"/>
      <c r="DO189" s="20"/>
      <c r="DP189" s="20"/>
      <c r="DQ189" s="20"/>
      <c r="DR189" s="20"/>
      <c r="DS189" s="20"/>
      <c r="DT189" s="20"/>
      <c r="DU189" s="20"/>
      <c r="DV189" s="20"/>
      <c r="DW189" s="20"/>
      <c r="DX189" s="20"/>
      <c r="DY189" s="20"/>
      <c r="DZ189" s="20"/>
      <c r="EA189" s="20"/>
      <c r="EB189" s="20"/>
      <c r="EC189" s="20"/>
      <c r="ED189" s="20"/>
      <c r="EE189" s="20"/>
      <c r="EF189" s="20"/>
      <c r="EG189" s="20"/>
      <c r="EH189" s="20"/>
      <c r="EI189" s="20"/>
      <c r="EJ189" s="20"/>
      <c r="EK189" s="20"/>
      <c r="EL189" s="20"/>
      <c r="EM189" s="20"/>
      <c r="EN189" s="20"/>
      <c r="EO189" s="20"/>
      <c r="EP189" s="20"/>
      <c r="EQ189" s="20"/>
      <c r="ER189" s="20"/>
      <c r="ES189" s="20"/>
      <c r="ET189" s="20"/>
      <c r="EU189" s="20"/>
      <c r="EV189" s="20"/>
      <c r="EW189" s="20"/>
      <c r="EX189" s="20"/>
      <c r="EY189" s="20"/>
      <c r="EZ189" s="20"/>
      <c r="FA189" s="20"/>
      <c r="FB189" s="20"/>
      <c r="FC189" s="20"/>
      <c r="FD189" s="20"/>
      <c r="FE189" s="20"/>
      <c r="FF189" s="20"/>
      <c r="FG189" s="20"/>
      <c r="FH189" s="20"/>
      <c r="FI189" s="20"/>
      <c r="FJ189" s="20"/>
      <c r="FK189" s="20"/>
      <c r="FL189" s="20"/>
      <c r="FM189" s="20"/>
      <c r="FN189" s="20"/>
      <c r="FO189" s="20"/>
      <c r="FP189" s="20"/>
      <c r="FQ189" s="20"/>
      <c r="FR189" s="20"/>
      <c r="FS189" s="20"/>
      <c r="FT189" s="20"/>
      <c r="FU189" s="20"/>
      <c r="FV189" s="20"/>
      <c r="FW189" s="20"/>
      <c r="FX189" s="20"/>
      <c r="FY189" s="20"/>
      <c r="FZ189" s="20"/>
      <c r="GA189" s="20"/>
      <c r="GB189" s="20"/>
      <c r="GC189" s="20"/>
      <c r="GD189" s="20"/>
      <c r="GE189" s="20"/>
      <c r="GF189" s="20"/>
      <c r="GG189" s="20"/>
      <c r="GH189" s="20"/>
      <c r="GI189" s="20"/>
      <c r="GJ189" s="20"/>
      <c r="GK189" s="20"/>
    </row>
    <row r="190" spans="1:193" ht="18" customHeight="1">
      <c r="A190" s="9" t="str">
        <f t="shared" si="5"/>
        <v/>
      </c>
      <c r="B190" s="10"/>
      <c r="C190" s="11"/>
      <c r="D190" s="10"/>
      <c r="E190" s="11"/>
      <c r="F190" s="11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4"/>
      <c r="AN190" s="14"/>
      <c r="AO190" s="14"/>
      <c r="AP190" s="14"/>
      <c r="AQ190" s="14"/>
      <c r="AR190" s="14"/>
      <c r="AS190" s="14"/>
      <c r="AT190" s="14"/>
      <c r="AU190" s="14"/>
      <c r="AV190" s="14"/>
      <c r="AW190" s="14"/>
      <c r="AX190" s="14"/>
      <c r="AY190" s="14"/>
      <c r="AZ190" s="14"/>
      <c r="BA190" s="14"/>
      <c r="BB190" s="14"/>
      <c r="BC190" s="15"/>
      <c r="BD190" s="15"/>
      <c r="BE190" s="15"/>
      <c r="BF190" s="15"/>
      <c r="BG190" s="15"/>
      <c r="BH190" s="15"/>
      <c r="BI190" s="15"/>
      <c r="BJ190" s="15"/>
      <c r="BK190" s="15"/>
      <c r="BL190" s="15"/>
      <c r="BM190" s="15"/>
      <c r="BN190" s="15"/>
      <c r="BO190" s="15"/>
      <c r="BP190" s="15"/>
      <c r="BQ190" s="15"/>
      <c r="BR190" s="15"/>
      <c r="BS190" s="12"/>
      <c r="BT190" s="12"/>
      <c r="BU190" s="12"/>
      <c r="BV190" s="12"/>
      <c r="BW190" s="12"/>
      <c r="BX190" s="12"/>
      <c r="BY190" s="12"/>
      <c r="BZ190" s="12"/>
      <c r="CA190" s="12"/>
      <c r="CB190" s="12"/>
      <c r="CC190" s="12"/>
      <c r="CD190" s="12"/>
      <c r="CE190" s="12"/>
      <c r="CF190" s="12"/>
      <c r="CG190" s="12"/>
      <c r="CH190" s="12"/>
      <c r="CI190" s="12"/>
      <c r="CJ190" s="12"/>
      <c r="CK190" s="12"/>
      <c r="CL190" s="12"/>
      <c r="CM190" s="15"/>
      <c r="CN190" s="15"/>
      <c r="CO190" s="15"/>
      <c r="CP190" s="15"/>
      <c r="CQ190" s="15"/>
      <c r="CR190" s="15"/>
      <c r="CS190" s="15"/>
      <c r="CT190" s="15"/>
      <c r="CU190" s="15"/>
      <c r="CV190" s="15"/>
      <c r="CW190" s="15"/>
      <c r="CX190" s="15"/>
      <c r="CY190" s="15"/>
      <c r="CZ190" s="15"/>
      <c r="DA190" s="15"/>
      <c r="DB190" s="15"/>
      <c r="DC190" s="15"/>
      <c r="DD190" s="15"/>
      <c r="DE190" s="15"/>
      <c r="DF190" s="15"/>
      <c r="DG190" s="14"/>
      <c r="DH190" s="14"/>
      <c r="DI190" s="14"/>
      <c r="DJ190" s="14"/>
      <c r="DK190" s="14"/>
      <c r="DL190" s="14"/>
      <c r="DM190" s="14"/>
      <c r="DN190" s="14"/>
      <c r="DO190" s="14"/>
      <c r="DP190" s="14"/>
      <c r="DQ190" s="14"/>
      <c r="DR190" s="14"/>
      <c r="DS190" s="14"/>
      <c r="DT190" s="14"/>
      <c r="DU190" s="14"/>
      <c r="DV190" s="14"/>
      <c r="DW190" s="14"/>
      <c r="DX190" s="14"/>
      <c r="DY190" s="14"/>
      <c r="DZ190" s="14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6"/>
      <c r="EV190" s="16"/>
      <c r="EW190" s="16"/>
      <c r="EX190" s="16"/>
      <c r="EY190" s="16"/>
      <c r="EZ190" s="16"/>
      <c r="FA190" s="16"/>
      <c r="FB190" s="16"/>
      <c r="FC190" s="16"/>
      <c r="FD190" s="16"/>
      <c r="FE190" s="16"/>
      <c r="FF190" s="16"/>
      <c r="FG190" s="16"/>
      <c r="FH190" s="16"/>
      <c r="FI190" s="16"/>
      <c r="FJ190" s="16"/>
      <c r="FK190" s="16"/>
      <c r="FL190" s="16"/>
      <c r="FM190" s="16"/>
      <c r="FN190" s="16"/>
      <c r="FO190" s="17"/>
      <c r="FP190" s="17"/>
      <c r="FQ190" s="17"/>
      <c r="FR190" s="17"/>
      <c r="FS190" s="17"/>
      <c r="FT190" s="17"/>
      <c r="FU190" s="17"/>
      <c r="FV190" s="17"/>
      <c r="FW190" s="17"/>
      <c r="FX190" s="17"/>
      <c r="FY190" s="17"/>
      <c r="FZ190" s="17"/>
      <c r="GA190" s="17"/>
      <c r="GB190" s="17"/>
      <c r="GC190" s="17"/>
      <c r="GD190" s="13"/>
      <c r="GE190" s="13"/>
      <c r="GF190" s="13"/>
      <c r="GG190" s="13"/>
      <c r="GH190" s="13"/>
      <c r="GI190" s="13"/>
      <c r="GJ190" s="13"/>
      <c r="GK190" s="13"/>
    </row>
    <row r="191" spans="1:193" ht="18" customHeight="1">
      <c r="A191" s="18" t="str">
        <f t="shared" si="5"/>
        <v/>
      </c>
      <c r="B191" s="19"/>
      <c r="C191" s="20"/>
      <c r="D191" s="19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20"/>
      <c r="BI191" s="20"/>
      <c r="BJ191" s="20"/>
      <c r="BK191" s="20"/>
      <c r="BL191" s="20"/>
      <c r="BM191" s="20"/>
      <c r="BN191" s="20"/>
      <c r="BO191" s="20"/>
      <c r="BP191" s="20"/>
      <c r="BQ191" s="20"/>
      <c r="BR191" s="20"/>
      <c r="BS191" s="20"/>
      <c r="BT191" s="20"/>
      <c r="BU191" s="20"/>
      <c r="BV191" s="20"/>
      <c r="BW191" s="20"/>
      <c r="BX191" s="20"/>
      <c r="BY191" s="20"/>
      <c r="BZ191" s="20"/>
      <c r="CA191" s="20"/>
      <c r="CB191" s="20"/>
      <c r="CC191" s="20"/>
      <c r="CD191" s="20"/>
      <c r="CE191" s="20"/>
      <c r="CF191" s="20"/>
      <c r="CG191" s="20"/>
      <c r="CH191" s="20"/>
      <c r="CI191" s="20"/>
      <c r="CJ191" s="20"/>
      <c r="CK191" s="20"/>
      <c r="CL191" s="20"/>
      <c r="CM191" s="20"/>
      <c r="CN191" s="20"/>
      <c r="CO191" s="20"/>
      <c r="CP191" s="20"/>
      <c r="CQ191" s="20"/>
      <c r="CR191" s="20"/>
      <c r="CS191" s="20"/>
      <c r="CT191" s="20"/>
      <c r="CU191" s="20"/>
      <c r="CV191" s="20"/>
      <c r="CW191" s="20"/>
      <c r="CX191" s="20"/>
      <c r="CY191" s="20"/>
      <c r="CZ191" s="20"/>
      <c r="DA191" s="20"/>
      <c r="DB191" s="20"/>
      <c r="DC191" s="20"/>
      <c r="DD191" s="20"/>
      <c r="DE191" s="20"/>
      <c r="DF191" s="20"/>
      <c r="DG191" s="20"/>
      <c r="DH191" s="20"/>
      <c r="DI191" s="20"/>
      <c r="DJ191" s="20"/>
      <c r="DK191" s="20"/>
      <c r="DL191" s="20"/>
      <c r="DM191" s="20"/>
      <c r="DN191" s="20"/>
      <c r="DO191" s="20"/>
      <c r="DP191" s="20"/>
      <c r="DQ191" s="20"/>
      <c r="DR191" s="20"/>
      <c r="DS191" s="20"/>
      <c r="DT191" s="20"/>
      <c r="DU191" s="20"/>
      <c r="DV191" s="20"/>
      <c r="DW191" s="20"/>
      <c r="DX191" s="20"/>
      <c r="DY191" s="20"/>
      <c r="DZ191" s="20"/>
      <c r="EA191" s="20"/>
      <c r="EB191" s="20"/>
      <c r="EC191" s="20"/>
      <c r="ED191" s="20"/>
      <c r="EE191" s="20"/>
      <c r="EF191" s="20"/>
      <c r="EG191" s="20"/>
      <c r="EH191" s="20"/>
      <c r="EI191" s="20"/>
      <c r="EJ191" s="20"/>
      <c r="EK191" s="20"/>
      <c r="EL191" s="20"/>
      <c r="EM191" s="20"/>
      <c r="EN191" s="20"/>
      <c r="EO191" s="20"/>
      <c r="EP191" s="20"/>
      <c r="EQ191" s="20"/>
      <c r="ER191" s="20"/>
      <c r="ES191" s="20"/>
      <c r="ET191" s="20"/>
      <c r="EU191" s="20"/>
      <c r="EV191" s="20"/>
      <c r="EW191" s="20"/>
      <c r="EX191" s="20"/>
      <c r="EY191" s="20"/>
      <c r="EZ191" s="20"/>
      <c r="FA191" s="20"/>
      <c r="FB191" s="20"/>
      <c r="FC191" s="20"/>
      <c r="FD191" s="20"/>
      <c r="FE191" s="20"/>
      <c r="FF191" s="20"/>
      <c r="FG191" s="20"/>
      <c r="FH191" s="20"/>
      <c r="FI191" s="20"/>
      <c r="FJ191" s="20"/>
      <c r="FK191" s="20"/>
      <c r="FL191" s="20"/>
      <c r="FM191" s="20"/>
      <c r="FN191" s="20"/>
      <c r="FO191" s="20"/>
      <c r="FP191" s="20"/>
      <c r="FQ191" s="20"/>
      <c r="FR191" s="20"/>
      <c r="FS191" s="20"/>
      <c r="FT191" s="20"/>
      <c r="FU191" s="20"/>
      <c r="FV191" s="20"/>
      <c r="FW191" s="20"/>
      <c r="FX191" s="20"/>
      <c r="FY191" s="20"/>
      <c r="FZ191" s="20"/>
      <c r="GA191" s="20"/>
      <c r="GB191" s="20"/>
      <c r="GC191" s="20"/>
      <c r="GD191" s="20"/>
      <c r="GE191" s="20"/>
      <c r="GF191" s="20"/>
      <c r="GG191" s="20"/>
      <c r="GH191" s="20"/>
      <c r="GI191" s="20"/>
      <c r="GJ191" s="20"/>
      <c r="GK191" s="20"/>
    </row>
    <row r="192" spans="1:193" ht="18" customHeight="1">
      <c r="A192" s="9" t="str">
        <f t="shared" si="5"/>
        <v/>
      </c>
      <c r="B192" s="10"/>
      <c r="C192" s="11"/>
      <c r="D192" s="10"/>
      <c r="E192" s="11"/>
      <c r="F192" s="11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  <c r="AY192" s="14"/>
      <c r="AZ192" s="14"/>
      <c r="BA192" s="14"/>
      <c r="BB192" s="14"/>
      <c r="BC192" s="15"/>
      <c r="BD192" s="15"/>
      <c r="BE192" s="15"/>
      <c r="BF192" s="15"/>
      <c r="BG192" s="15"/>
      <c r="BH192" s="15"/>
      <c r="BI192" s="15"/>
      <c r="BJ192" s="15"/>
      <c r="BK192" s="15"/>
      <c r="BL192" s="15"/>
      <c r="BM192" s="15"/>
      <c r="BN192" s="15"/>
      <c r="BO192" s="15"/>
      <c r="BP192" s="15"/>
      <c r="BQ192" s="15"/>
      <c r="BR192" s="15"/>
      <c r="BS192" s="12"/>
      <c r="BT192" s="12"/>
      <c r="BU192" s="12"/>
      <c r="BV192" s="12"/>
      <c r="BW192" s="12"/>
      <c r="BX192" s="12"/>
      <c r="BY192" s="12"/>
      <c r="BZ192" s="12"/>
      <c r="CA192" s="12"/>
      <c r="CB192" s="12"/>
      <c r="CC192" s="12"/>
      <c r="CD192" s="12"/>
      <c r="CE192" s="12"/>
      <c r="CF192" s="12"/>
      <c r="CG192" s="12"/>
      <c r="CH192" s="12"/>
      <c r="CI192" s="12"/>
      <c r="CJ192" s="12"/>
      <c r="CK192" s="12"/>
      <c r="CL192" s="12"/>
      <c r="CM192" s="15"/>
      <c r="CN192" s="15"/>
      <c r="CO192" s="15"/>
      <c r="CP192" s="15"/>
      <c r="CQ192" s="15"/>
      <c r="CR192" s="15"/>
      <c r="CS192" s="15"/>
      <c r="CT192" s="15"/>
      <c r="CU192" s="15"/>
      <c r="CV192" s="15"/>
      <c r="CW192" s="15"/>
      <c r="CX192" s="15"/>
      <c r="CY192" s="15"/>
      <c r="CZ192" s="15"/>
      <c r="DA192" s="15"/>
      <c r="DB192" s="15"/>
      <c r="DC192" s="15"/>
      <c r="DD192" s="15"/>
      <c r="DE192" s="15"/>
      <c r="DF192" s="15"/>
      <c r="DG192" s="14"/>
      <c r="DH192" s="14"/>
      <c r="DI192" s="14"/>
      <c r="DJ192" s="14"/>
      <c r="DK192" s="14"/>
      <c r="DL192" s="14"/>
      <c r="DM192" s="14"/>
      <c r="DN192" s="14"/>
      <c r="DO192" s="14"/>
      <c r="DP192" s="14"/>
      <c r="DQ192" s="14"/>
      <c r="DR192" s="14"/>
      <c r="DS192" s="14"/>
      <c r="DT192" s="14"/>
      <c r="DU192" s="14"/>
      <c r="DV192" s="14"/>
      <c r="DW192" s="14"/>
      <c r="DX192" s="14"/>
      <c r="DY192" s="14"/>
      <c r="DZ192" s="14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6"/>
      <c r="EV192" s="16"/>
      <c r="EW192" s="16"/>
      <c r="EX192" s="16"/>
      <c r="EY192" s="16"/>
      <c r="EZ192" s="16"/>
      <c r="FA192" s="16"/>
      <c r="FB192" s="16"/>
      <c r="FC192" s="16"/>
      <c r="FD192" s="16"/>
      <c r="FE192" s="16"/>
      <c r="FF192" s="16"/>
      <c r="FG192" s="16"/>
      <c r="FH192" s="16"/>
      <c r="FI192" s="16"/>
      <c r="FJ192" s="16"/>
      <c r="FK192" s="16"/>
      <c r="FL192" s="16"/>
      <c r="FM192" s="16"/>
      <c r="FN192" s="16"/>
      <c r="FO192" s="17"/>
      <c r="FP192" s="17"/>
      <c r="FQ192" s="17"/>
      <c r="FR192" s="17"/>
      <c r="FS192" s="17"/>
      <c r="FT192" s="17"/>
      <c r="FU192" s="17"/>
      <c r="FV192" s="17"/>
      <c r="FW192" s="17"/>
      <c r="FX192" s="17"/>
      <c r="FY192" s="17"/>
      <c r="FZ192" s="17"/>
      <c r="GA192" s="17"/>
      <c r="GB192" s="17"/>
      <c r="GC192" s="17"/>
      <c r="GD192" s="13"/>
      <c r="GE192" s="13"/>
      <c r="GF192" s="13"/>
      <c r="GG192" s="13"/>
      <c r="GH192" s="13"/>
      <c r="GI192" s="13"/>
      <c r="GJ192" s="13"/>
      <c r="GK192" s="13"/>
    </row>
    <row r="193" spans="1:193" ht="18" customHeight="1">
      <c r="A193" s="18" t="str">
        <f t="shared" si="5"/>
        <v/>
      </c>
      <c r="B193" s="19"/>
      <c r="C193" s="20"/>
      <c r="D193" s="19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20"/>
      <c r="BI193" s="20"/>
      <c r="BJ193" s="20"/>
      <c r="BK193" s="20"/>
      <c r="BL193" s="20"/>
      <c r="BM193" s="20"/>
      <c r="BN193" s="20"/>
      <c r="BO193" s="20"/>
      <c r="BP193" s="20"/>
      <c r="BQ193" s="20"/>
      <c r="BR193" s="20"/>
      <c r="BS193" s="20"/>
      <c r="BT193" s="20"/>
      <c r="BU193" s="20"/>
      <c r="BV193" s="20"/>
      <c r="BW193" s="20"/>
      <c r="BX193" s="20"/>
      <c r="BY193" s="20"/>
      <c r="BZ193" s="20"/>
      <c r="CA193" s="20"/>
      <c r="CB193" s="20"/>
      <c r="CC193" s="20"/>
      <c r="CD193" s="20"/>
      <c r="CE193" s="20"/>
      <c r="CF193" s="20"/>
      <c r="CG193" s="20"/>
      <c r="CH193" s="20"/>
      <c r="CI193" s="20"/>
      <c r="CJ193" s="20"/>
      <c r="CK193" s="20"/>
      <c r="CL193" s="20"/>
      <c r="CM193" s="20"/>
      <c r="CN193" s="20"/>
      <c r="CO193" s="20"/>
      <c r="CP193" s="20"/>
      <c r="CQ193" s="20"/>
      <c r="CR193" s="20"/>
      <c r="CS193" s="20"/>
      <c r="CT193" s="20"/>
      <c r="CU193" s="20"/>
      <c r="CV193" s="20"/>
      <c r="CW193" s="20"/>
      <c r="CX193" s="20"/>
      <c r="CY193" s="20"/>
      <c r="CZ193" s="20"/>
      <c r="DA193" s="20"/>
      <c r="DB193" s="20"/>
      <c r="DC193" s="20"/>
      <c r="DD193" s="20"/>
      <c r="DE193" s="20"/>
      <c r="DF193" s="20"/>
      <c r="DG193" s="20"/>
      <c r="DH193" s="20"/>
      <c r="DI193" s="20"/>
      <c r="DJ193" s="20"/>
      <c r="DK193" s="20"/>
      <c r="DL193" s="20"/>
      <c r="DM193" s="20"/>
      <c r="DN193" s="20"/>
      <c r="DO193" s="20"/>
      <c r="DP193" s="20"/>
      <c r="DQ193" s="20"/>
      <c r="DR193" s="20"/>
      <c r="DS193" s="20"/>
      <c r="DT193" s="20"/>
      <c r="DU193" s="20"/>
      <c r="DV193" s="20"/>
      <c r="DW193" s="20"/>
      <c r="DX193" s="20"/>
      <c r="DY193" s="20"/>
      <c r="DZ193" s="20"/>
      <c r="EA193" s="20"/>
      <c r="EB193" s="20"/>
      <c r="EC193" s="20"/>
      <c r="ED193" s="20"/>
      <c r="EE193" s="20"/>
      <c r="EF193" s="20"/>
      <c r="EG193" s="20"/>
      <c r="EH193" s="20"/>
      <c r="EI193" s="20"/>
      <c r="EJ193" s="20"/>
      <c r="EK193" s="20"/>
      <c r="EL193" s="20"/>
      <c r="EM193" s="20"/>
      <c r="EN193" s="20"/>
      <c r="EO193" s="20"/>
      <c r="EP193" s="20"/>
      <c r="EQ193" s="20"/>
      <c r="ER193" s="20"/>
      <c r="ES193" s="20"/>
      <c r="ET193" s="20"/>
      <c r="EU193" s="20"/>
      <c r="EV193" s="20"/>
      <c r="EW193" s="20"/>
      <c r="EX193" s="20"/>
      <c r="EY193" s="20"/>
      <c r="EZ193" s="20"/>
      <c r="FA193" s="20"/>
      <c r="FB193" s="20"/>
      <c r="FC193" s="20"/>
      <c r="FD193" s="20"/>
      <c r="FE193" s="20"/>
      <c r="FF193" s="20"/>
      <c r="FG193" s="20"/>
      <c r="FH193" s="20"/>
      <c r="FI193" s="20"/>
      <c r="FJ193" s="20"/>
      <c r="FK193" s="20"/>
      <c r="FL193" s="20"/>
      <c r="FM193" s="20"/>
      <c r="FN193" s="20"/>
      <c r="FO193" s="20"/>
      <c r="FP193" s="20"/>
      <c r="FQ193" s="20"/>
      <c r="FR193" s="20"/>
      <c r="FS193" s="20"/>
      <c r="FT193" s="20"/>
      <c r="FU193" s="20"/>
      <c r="FV193" s="20"/>
      <c r="FW193" s="20"/>
      <c r="FX193" s="20"/>
      <c r="FY193" s="20"/>
      <c r="FZ193" s="20"/>
      <c r="GA193" s="20"/>
      <c r="GB193" s="20"/>
      <c r="GC193" s="20"/>
      <c r="GD193" s="20"/>
      <c r="GE193" s="20"/>
      <c r="GF193" s="20"/>
      <c r="GG193" s="20"/>
      <c r="GH193" s="20"/>
      <c r="GI193" s="20"/>
      <c r="GJ193" s="20"/>
      <c r="GK193" s="20"/>
    </row>
    <row r="194" spans="1:193" ht="18" customHeight="1">
      <c r="A194" s="9" t="str">
        <f t="shared" si="5"/>
        <v/>
      </c>
      <c r="B194" s="10"/>
      <c r="C194" s="11"/>
      <c r="D194" s="10"/>
      <c r="E194" s="11"/>
      <c r="F194" s="11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4"/>
      <c r="AN194" s="14"/>
      <c r="AO194" s="14"/>
      <c r="AP194" s="14"/>
      <c r="AQ194" s="14"/>
      <c r="AR194" s="14"/>
      <c r="AS194" s="14"/>
      <c r="AT194" s="14"/>
      <c r="AU194" s="14"/>
      <c r="AV194" s="14"/>
      <c r="AW194" s="14"/>
      <c r="AX194" s="14"/>
      <c r="AY194" s="14"/>
      <c r="AZ194" s="14"/>
      <c r="BA194" s="14"/>
      <c r="BB194" s="14"/>
      <c r="BC194" s="15"/>
      <c r="BD194" s="15"/>
      <c r="BE194" s="15"/>
      <c r="BF194" s="15"/>
      <c r="BG194" s="15"/>
      <c r="BH194" s="15"/>
      <c r="BI194" s="15"/>
      <c r="BJ194" s="15"/>
      <c r="BK194" s="15"/>
      <c r="BL194" s="15"/>
      <c r="BM194" s="15"/>
      <c r="BN194" s="15"/>
      <c r="BO194" s="15"/>
      <c r="BP194" s="15"/>
      <c r="BQ194" s="15"/>
      <c r="BR194" s="15"/>
      <c r="BS194" s="12"/>
      <c r="BT194" s="12"/>
      <c r="BU194" s="12"/>
      <c r="BV194" s="12"/>
      <c r="BW194" s="12"/>
      <c r="BX194" s="12"/>
      <c r="BY194" s="12"/>
      <c r="BZ194" s="12"/>
      <c r="CA194" s="12"/>
      <c r="CB194" s="12"/>
      <c r="CC194" s="12"/>
      <c r="CD194" s="12"/>
      <c r="CE194" s="12"/>
      <c r="CF194" s="12"/>
      <c r="CG194" s="12"/>
      <c r="CH194" s="12"/>
      <c r="CI194" s="12"/>
      <c r="CJ194" s="12"/>
      <c r="CK194" s="12"/>
      <c r="CL194" s="12"/>
      <c r="CM194" s="15"/>
      <c r="CN194" s="15"/>
      <c r="CO194" s="15"/>
      <c r="CP194" s="15"/>
      <c r="CQ194" s="15"/>
      <c r="CR194" s="15"/>
      <c r="CS194" s="15"/>
      <c r="CT194" s="15"/>
      <c r="CU194" s="15"/>
      <c r="CV194" s="15"/>
      <c r="CW194" s="15"/>
      <c r="CX194" s="15"/>
      <c r="CY194" s="15"/>
      <c r="CZ194" s="15"/>
      <c r="DA194" s="15"/>
      <c r="DB194" s="15"/>
      <c r="DC194" s="15"/>
      <c r="DD194" s="15"/>
      <c r="DE194" s="15"/>
      <c r="DF194" s="15"/>
      <c r="DG194" s="14"/>
      <c r="DH194" s="14"/>
      <c r="DI194" s="14"/>
      <c r="DJ194" s="14"/>
      <c r="DK194" s="14"/>
      <c r="DL194" s="14"/>
      <c r="DM194" s="14"/>
      <c r="DN194" s="14"/>
      <c r="DO194" s="14"/>
      <c r="DP194" s="14"/>
      <c r="DQ194" s="14"/>
      <c r="DR194" s="14"/>
      <c r="DS194" s="14"/>
      <c r="DT194" s="14"/>
      <c r="DU194" s="14"/>
      <c r="DV194" s="14"/>
      <c r="DW194" s="14"/>
      <c r="DX194" s="14"/>
      <c r="DY194" s="14"/>
      <c r="DZ194" s="14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6"/>
      <c r="EV194" s="16"/>
      <c r="EW194" s="16"/>
      <c r="EX194" s="16"/>
      <c r="EY194" s="16"/>
      <c r="EZ194" s="16"/>
      <c r="FA194" s="16"/>
      <c r="FB194" s="16"/>
      <c r="FC194" s="16"/>
      <c r="FD194" s="16"/>
      <c r="FE194" s="16"/>
      <c r="FF194" s="16"/>
      <c r="FG194" s="16"/>
      <c r="FH194" s="16"/>
      <c r="FI194" s="16"/>
      <c r="FJ194" s="16"/>
      <c r="FK194" s="16"/>
      <c r="FL194" s="16"/>
      <c r="FM194" s="16"/>
      <c r="FN194" s="16"/>
      <c r="FO194" s="17"/>
      <c r="FP194" s="17"/>
      <c r="FQ194" s="17"/>
      <c r="FR194" s="17"/>
      <c r="FS194" s="17"/>
      <c r="FT194" s="17"/>
      <c r="FU194" s="17"/>
      <c r="FV194" s="17"/>
      <c r="FW194" s="17"/>
      <c r="FX194" s="17"/>
      <c r="FY194" s="17"/>
      <c r="FZ194" s="17"/>
      <c r="GA194" s="17"/>
      <c r="GB194" s="17"/>
      <c r="GC194" s="17"/>
      <c r="GD194" s="13"/>
      <c r="GE194" s="13"/>
      <c r="GF194" s="13"/>
      <c r="GG194" s="13"/>
      <c r="GH194" s="13"/>
      <c r="GI194" s="13"/>
      <c r="GJ194" s="13"/>
      <c r="GK194" s="13"/>
    </row>
    <row r="195" spans="1:193" ht="18" customHeight="1">
      <c r="A195" s="18" t="str">
        <f t="shared" si="5"/>
        <v/>
      </c>
      <c r="B195" s="19"/>
      <c r="C195" s="20"/>
      <c r="D195" s="19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20"/>
      <c r="BI195" s="20"/>
      <c r="BJ195" s="20"/>
      <c r="BK195" s="20"/>
      <c r="BL195" s="20"/>
      <c r="BM195" s="20"/>
      <c r="BN195" s="20"/>
      <c r="BO195" s="20"/>
      <c r="BP195" s="20"/>
      <c r="BQ195" s="20"/>
      <c r="BR195" s="20"/>
      <c r="BS195" s="20"/>
      <c r="BT195" s="20"/>
      <c r="BU195" s="20"/>
      <c r="BV195" s="20"/>
      <c r="BW195" s="20"/>
      <c r="BX195" s="20"/>
      <c r="BY195" s="20"/>
      <c r="BZ195" s="20"/>
      <c r="CA195" s="20"/>
      <c r="CB195" s="20"/>
      <c r="CC195" s="20"/>
      <c r="CD195" s="20"/>
      <c r="CE195" s="20"/>
      <c r="CF195" s="20"/>
      <c r="CG195" s="20"/>
      <c r="CH195" s="20"/>
      <c r="CI195" s="20"/>
      <c r="CJ195" s="20"/>
      <c r="CK195" s="20"/>
      <c r="CL195" s="20"/>
      <c r="CM195" s="20"/>
      <c r="CN195" s="20"/>
      <c r="CO195" s="20"/>
      <c r="CP195" s="20"/>
      <c r="CQ195" s="20"/>
      <c r="CR195" s="20"/>
      <c r="CS195" s="20"/>
      <c r="CT195" s="20"/>
      <c r="CU195" s="20"/>
      <c r="CV195" s="20"/>
      <c r="CW195" s="20"/>
      <c r="CX195" s="20"/>
      <c r="CY195" s="20"/>
      <c r="CZ195" s="20"/>
      <c r="DA195" s="20"/>
      <c r="DB195" s="20"/>
      <c r="DC195" s="20"/>
      <c r="DD195" s="20"/>
      <c r="DE195" s="20"/>
      <c r="DF195" s="20"/>
      <c r="DG195" s="20"/>
      <c r="DH195" s="20"/>
      <c r="DI195" s="20"/>
      <c r="DJ195" s="20"/>
      <c r="DK195" s="20"/>
      <c r="DL195" s="20"/>
      <c r="DM195" s="20"/>
      <c r="DN195" s="20"/>
      <c r="DO195" s="20"/>
      <c r="DP195" s="20"/>
      <c r="DQ195" s="20"/>
      <c r="DR195" s="20"/>
      <c r="DS195" s="20"/>
      <c r="DT195" s="20"/>
      <c r="DU195" s="20"/>
      <c r="DV195" s="20"/>
      <c r="DW195" s="20"/>
      <c r="DX195" s="20"/>
      <c r="DY195" s="20"/>
      <c r="DZ195" s="20"/>
      <c r="EA195" s="20"/>
      <c r="EB195" s="20"/>
      <c r="EC195" s="20"/>
      <c r="ED195" s="20"/>
      <c r="EE195" s="20"/>
      <c r="EF195" s="20"/>
      <c r="EG195" s="20"/>
      <c r="EH195" s="20"/>
      <c r="EI195" s="20"/>
      <c r="EJ195" s="20"/>
      <c r="EK195" s="20"/>
      <c r="EL195" s="20"/>
      <c r="EM195" s="20"/>
      <c r="EN195" s="20"/>
      <c r="EO195" s="20"/>
      <c r="EP195" s="20"/>
      <c r="EQ195" s="20"/>
      <c r="ER195" s="20"/>
      <c r="ES195" s="20"/>
      <c r="ET195" s="20"/>
      <c r="EU195" s="20"/>
      <c r="EV195" s="20"/>
      <c r="EW195" s="20"/>
      <c r="EX195" s="20"/>
      <c r="EY195" s="20"/>
      <c r="EZ195" s="20"/>
      <c r="FA195" s="20"/>
      <c r="FB195" s="20"/>
      <c r="FC195" s="20"/>
      <c r="FD195" s="20"/>
      <c r="FE195" s="20"/>
      <c r="FF195" s="20"/>
      <c r="FG195" s="20"/>
      <c r="FH195" s="20"/>
      <c r="FI195" s="20"/>
      <c r="FJ195" s="20"/>
      <c r="FK195" s="20"/>
      <c r="FL195" s="20"/>
      <c r="FM195" s="20"/>
      <c r="FN195" s="20"/>
      <c r="FO195" s="20"/>
      <c r="FP195" s="20"/>
      <c r="FQ195" s="20"/>
      <c r="FR195" s="20"/>
      <c r="FS195" s="20"/>
      <c r="FT195" s="20"/>
      <c r="FU195" s="20"/>
      <c r="FV195" s="20"/>
      <c r="FW195" s="20"/>
      <c r="FX195" s="20"/>
      <c r="FY195" s="20"/>
      <c r="FZ195" s="20"/>
      <c r="GA195" s="20"/>
      <c r="GB195" s="20"/>
      <c r="GC195" s="20"/>
      <c r="GD195" s="20"/>
      <c r="GE195" s="20"/>
      <c r="GF195" s="20"/>
      <c r="GG195" s="20"/>
      <c r="GH195" s="20"/>
      <c r="GI195" s="20"/>
      <c r="GJ195" s="20"/>
      <c r="GK195" s="20"/>
    </row>
    <row r="196" spans="1:193" ht="18" customHeight="1">
      <c r="A196" s="9" t="str">
        <f t="shared" si="5"/>
        <v/>
      </c>
      <c r="B196" s="10"/>
      <c r="C196" s="11"/>
      <c r="D196" s="10"/>
      <c r="E196" s="11"/>
      <c r="F196" s="11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  <c r="AX196" s="14"/>
      <c r="AY196" s="14"/>
      <c r="AZ196" s="14"/>
      <c r="BA196" s="14"/>
      <c r="BB196" s="14"/>
      <c r="BC196" s="15"/>
      <c r="BD196" s="15"/>
      <c r="BE196" s="15"/>
      <c r="BF196" s="15"/>
      <c r="BG196" s="15"/>
      <c r="BH196" s="15"/>
      <c r="BI196" s="15"/>
      <c r="BJ196" s="15"/>
      <c r="BK196" s="15"/>
      <c r="BL196" s="15"/>
      <c r="BM196" s="15"/>
      <c r="BN196" s="15"/>
      <c r="BO196" s="15"/>
      <c r="BP196" s="15"/>
      <c r="BQ196" s="15"/>
      <c r="BR196" s="15"/>
      <c r="BS196" s="12"/>
      <c r="BT196" s="12"/>
      <c r="BU196" s="12"/>
      <c r="BV196" s="12"/>
      <c r="BW196" s="12"/>
      <c r="BX196" s="12"/>
      <c r="BY196" s="12"/>
      <c r="BZ196" s="12"/>
      <c r="CA196" s="12"/>
      <c r="CB196" s="12"/>
      <c r="CC196" s="12"/>
      <c r="CD196" s="12"/>
      <c r="CE196" s="12"/>
      <c r="CF196" s="12"/>
      <c r="CG196" s="12"/>
      <c r="CH196" s="12"/>
      <c r="CI196" s="12"/>
      <c r="CJ196" s="12"/>
      <c r="CK196" s="12"/>
      <c r="CL196" s="12"/>
      <c r="CM196" s="15"/>
      <c r="CN196" s="15"/>
      <c r="CO196" s="15"/>
      <c r="CP196" s="15"/>
      <c r="CQ196" s="15"/>
      <c r="CR196" s="15"/>
      <c r="CS196" s="15"/>
      <c r="CT196" s="15"/>
      <c r="CU196" s="15"/>
      <c r="CV196" s="15"/>
      <c r="CW196" s="15"/>
      <c r="CX196" s="15"/>
      <c r="CY196" s="15"/>
      <c r="CZ196" s="15"/>
      <c r="DA196" s="15"/>
      <c r="DB196" s="15"/>
      <c r="DC196" s="15"/>
      <c r="DD196" s="15"/>
      <c r="DE196" s="15"/>
      <c r="DF196" s="15"/>
      <c r="DG196" s="14"/>
      <c r="DH196" s="14"/>
      <c r="DI196" s="14"/>
      <c r="DJ196" s="14"/>
      <c r="DK196" s="14"/>
      <c r="DL196" s="14"/>
      <c r="DM196" s="14"/>
      <c r="DN196" s="14"/>
      <c r="DO196" s="14"/>
      <c r="DP196" s="14"/>
      <c r="DQ196" s="14"/>
      <c r="DR196" s="14"/>
      <c r="DS196" s="14"/>
      <c r="DT196" s="14"/>
      <c r="DU196" s="14"/>
      <c r="DV196" s="14"/>
      <c r="DW196" s="14"/>
      <c r="DX196" s="14"/>
      <c r="DY196" s="14"/>
      <c r="DZ196" s="14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6"/>
      <c r="EV196" s="16"/>
      <c r="EW196" s="16"/>
      <c r="EX196" s="16"/>
      <c r="EY196" s="16"/>
      <c r="EZ196" s="16"/>
      <c r="FA196" s="16"/>
      <c r="FB196" s="16"/>
      <c r="FC196" s="16"/>
      <c r="FD196" s="16"/>
      <c r="FE196" s="16"/>
      <c r="FF196" s="16"/>
      <c r="FG196" s="16"/>
      <c r="FH196" s="16"/>
      <c r="FI196" s="16"/>
      <c r="FJ196" s="16"/>
      <c r="FK196" s="16"/>
      <c r="FL196" s="16"/>
      <c r="FM196" s="16"/>
      <c r="FN196" s="16"/>
      <c r="FO196" s="17"/>
      <c r="FP196" s="17"/>
      <c r="FQ196" s="17"/>
      <c r="FR196" s="17"/>
      <c r="FS196" s="17"/>
      <c r="FT196" s="17"/>
      <c r="FU196" s="17"/>
      <c r="FV196" s="17"/>
      <c r="FW196" s="17"/>
      <c r="FX196" s="17"/>
      <c r="FY196" s="17"/>
      <c r="FZ196" s="17"/>
      <c r="GA196" s="17"/>
      <c r="GB196" s="17"/>
      <c r="GC196" s="17"/>
      <c r="GD196" s="13"/>
      <c r="GE196" s="13"/>
      <c r="GF196" s="13"/>
      <c r="GG196" s="13"/>
      <c r="GH196" s="13"/>
      <c r="GI196" s="13"/>
      <c r="GJ196" s="13"/>
      <c r="GK196" s="13"/>
    </row>
    <row r="197" spans="1:193" ht="18" customHeight="1">
      <c r="A197" s="18" t="str">
        <f t="shared" si="5"/>
        <v/>
      </c>
      <c r="B197" s="19"/>
      <c r="C197" s="20"/>
      <c r="D197" s="19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  <c r="BG197" s="20"/>
      <c r="BH197" s="20"/>
      <c r="BI197" s="20"/>
      <c r="BJ197" s="20"/>
      <c r="BK197" s="20"/>
      <c r="BL197" s="20"/>
      <c r="BM197" s="20"/>
      <c r="BN197" s="20"/>
      <c r="BO197" s="20"/>
      <c r="BP197" s="20"/>
      <c r="BQ197" s="20"/>
      <c r="BR197" s="20"/>
      <c r="BS197" s="20"/>
      <c r="BT197" s="20"/>
      <c r="BU197" s="20"/>
      <c r="BV197" s="20"/>
      <c r="BW197" s="20"/>
      <c r="BX197" s="20"/>
      <c r="BY197" s="20"/>
      <c r="BZ197" s="20"/>
      <c r="CA197" s="20"/>
      <c r="CB197" s="20"/>
      <c r="CC197" s="20"/>
      <c r="CD197" s="20"/>
      <c r="CE197" s="20"/>
      <c r="CF197" s="20"/>
      <c r="CG197" s="20"/>
      <c r="CH197" s="20"/>
      <c r="CI197" s="20"/>
      <c r="CJ197" s="20"/>
      <c r="CK197" s="20"/>
      <c r="CL197" s="20"/>
      <c r="CM197" s="20"/>
      <c r="CN197" s="20"/>
      <c r="CO197" s="20"/>
      <c r="CP197" s="20"/>
      <c r="CQ197" s="20"/>
      <c r="CR197" s="20"/>
      <c r="CS197" s="20"/>
      <c r="CT197" s="20"/>
      <c r="CU197" s="20"/>
      <c r="CV197" s="20"/>
      <c r="CW197" s="20"/>
      <c r="CX197" s="20"/>
      <c r="CY197" s="20"/>
      <c r="CZ197" s="20"/>
      <c r="DA197" s="20"/>
      <c r="DB197" s="20"/>
      <c r="DC197" s="20"/>
      <c r="DD197" s="20"/>
      <c r="DE197" s="20"/>
      <c r="DF197" s="20"/>
      <c r="DG197" s="20"/>
      <c r="DH197" s="20"/>
      <c r="DI197" s="20"/>
      <c r="DJ197" s="20"/>
      <c r="DK197" s="20"/>
      <c r="DL197" s="20"/>
      <c r="DM197" s="20"/>
      <c r="DN197" s="20"/>
      <c r="DO197" s="20"/>
      <c r="DP197" s="20"/>
      <c r="DQ197" s="20"/>
      <c r="DR197" s="20"/>
      <c r="DS197" s="20"/>
      <c r="DT197" s="20"/>
      <c r="DU197" s="20"/>
      <c r="DV197" s="20"/>
      <c r="DW197" s="20"/>
      <c r="DX197" s="20"/>
      <c r="DY197" s="20"/>
      <c r="DZ197" s="20"/>
      <c r="EA197" s="20"/>
      <c r="EB197" s="20"/>
      <c r="EC197" s="20"/>
      <c r="ED197" s="20"/>
      <c r="EE197" s="20"/>
      <c r="EF197" s="20"/>
      <c r="EG197" s="20"/>
      <c r="EH197" s="20"/>
      <c r="EI197" s="20"/>
      <c r="EJ197" s="20"/>
      <c r="EK197" s="20"/>
      <c r="EL197" s="20"/>
      <c r="EM197" s="20"/>
      <c r="EN197" s="20"/>
      <c r="EO197" s="20"/>
      <c r="EP197" s="20"/>
      <c r="EQ197" s="20"/>
      <c r="ER197" s="20"/>
      <c r="ES197" s="20"/>
      <c r="ET197" s="20"/>
      <c r="EU197" s="20"/>
      <c r="EV197" s="20"/>
      <c r="EW197" s="20"/>
      <c r="EX197" s="20"/>
      <c r="EY197" s="20"/>
      <c r="EZ197" s="20"/>
      <c r="FA197" s="20"/>
      <c r="FB197" s="20"/>
      <c r="FC197" s="20"/>
      <c r="FD197" s="20"/>
      <c r="FE197" s="20"/>
      <c r="FF197" s="20"/>
      <c r="FG197" s="20"/>
      <c r="FH197" s="20"/>
      <c r="FI197" s="20"/>
      <c r="FJ197" s="20"/>
      <c r="FK197" s="20"/>
      <c r="FL197" s="20"/>
      <c r="FM197" s="20"/>
      <c r="FN197" s="20"/>
      <c r="FO197" s="20"/>
      <c r="FP197" s="20"/>
      <c r="FQ197" s="20"/>
      <c r="FR197" s="20"/>
      <c r="FS197" s="20"/>
      <c r="FT197" s="20"/>
      <c r="FU197" s="20"/>
      <c r="FV197" s="20"/>
      <c r="FW197" s="20"/>
      <c r="FX197" s="20"/>
      <c r="FY197" s="20"/>
      <c r="FZ197" s="20"/>
      <c r="GA197" s="20"/>
      <c r="GB197" s="20"/>
      <c r="GC197" s="20"/>
      <c r="GD197" s="20"/>
      <c r="GE197" s="20"/>
      <c r="GF197" s="20"/>
      <c r="GG197" s="20"/>
      <c r="GH197" s="20"/>
      <c r="GI197" s="20"/>
      <c r="GJ197" s="20"/>
      <c r="GK197" s="20"/>
    </row>
    <row r="198" spans="1:193" ht="18" customHeight="1">
      <c r="A198" s="9" t="str">
        <f t="shared" ref="A198:A205" si="6">IF(B198&lt;&gt;"","OBS-"&amp;TEXT(ROW()-5,"000"),"")</f>
        <v/>
      </c>
      <c r="B198" s="10"/>
      <c r="C198" s="11"/>
      <c r="D198" s="10"/>
      <c r="E198" s="11"/>
      <c r="F198" s="11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  <c r="AW198" s="14"/>
      <c r="AX198" s="14"/>
      <c r="AY198" s="14"/>
      <c r="AZ198" s="14"/>
      <c r="BA198" s="14"/>
      <c r="BB198" s="14"/>
      <c r="BC198" s="15"/>
      <c r="BD198" s="15"/>
      <c r="BE198" s="15"/>
      <c r="BF198" s="15"/>
      <c r="BG198" s="15"/>
      <c r="BH198" s="15"/>
      <c r="BI198" s="15"/>
      <c r="BJ198" s="15"/>
      <c r="BK198" s="15"/>
      <c r="BL198" s="15"/>
      <c r="BM198" s="15"/>
      <c r="BN198" s="15"/>
      <c r="BO198" s="15"/>
      <c r="BP198" s="15"/>
      <c r="BQ198" s="15"/>
      <c r="BR198" s="15"/>
      <c r="BS198" s="12"/>
      <c r="BT198" s="12"/>
      <c r="BU198" s="12"/>
      <c r="BV198" s="12"/>
      <c r="BW198" s="12"/>
      <c r="BX198" s="12"/>
      <c r="BY198" s="12"/>
      <c r="BZ198" s="12"/>
      <c r="CA198" s="12"/>
      <c r="CB198" s="12"/>
      <c r="CC198" s="12"/>
      <c r="CD198" s="12"/>
      <c r="CE198" s="12"/>
      <c r="CF198" s="12"/>
      <c r="CG198" s="12"/>
      <c r="CH198" s="12"/>
      <c r="CI198" s="12"/>
      <c r="CJ198" s="12"/>
      <c r="CK198" s="12"/>
      <c r="CL198" s="12"/>
      <c r="CM198" s="15"/>
      <c r="CN198" s="15"/>
      <c r="CO198" s="15"/>
      <c r="CP198" s="15"/>
      <c r="CQ198" s="15"/>
      <c r="CR198" s="15"/>
      <c r="CS198" s="15"/>
      <c r="CT198" s="15"/>
      <c r="CU198" s="15"/>
      <c r="CV198" s="15"/>
      <c r="CW198" s="15"/>
      <c r="CX198" s="15"/>
      <c r="CY198" s="15"/>
      <c r="CZ198" s="15"/>
      <c r="DA198" s="15"/>
      <c r="DB198" s="15"/>
      <c r="DC198" s="15"/>
      <c r="DD198" s="15"/>
      <c r="DE198" s="15"/>
      <c r="DF198" s="15"/>
      <c r="DG198" s="14"/>
      <c r="DH198" s="14"/>
      <c r="DI198" s="14"/>
      <c r="DJ198" s="14"/>
      <c r="DK198" s="14"/>
      <c r="DL198" s="14"/>
      <c r="DM198" s="14"/>
      <c r="DN198" s="14"/>
      <c r="DO198" s="14"/>
      <c r="DP198" s="14"/>
      <c r="DQ198" s="14"/>
      <c r="DR198" s="14"/>
      <c r="DS198" s="14"/>
      <c r="DT198" s="14"/>
      <c r="DU198" s="14"/>
      <c r="DV198" s="14"/>
      <c r="DW198" s="14"/>
      <c r="DX198" s="14"/>
      <c r="DY198" s="14"/>
      <c r="DZ198" s="14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6"/>
      <c r="EV198" s="16"/>
      <c r="EW198" s="16"/>
      <c r="EX198" s="16"/>
      <c r="EY198" s="16"/>
      <c r="EZ198" s="16"/>
      <c r="FA198" s="16"/>
      <c r="FB198" s="16"/>
      <c r="FC198" s="16"/>
      <c r="FD198" s="16"/>
      <c r="FE198" s="16"/>
      <c r="FF198" s="16"/>
      <c r="FG198" s="16"/>
      <c r="FH198" s="16"/>
      <c r="FI198" s="16"/>
      <c r="FJ198" s="16"/>
      <c r="FK198" s="16"/>
      <c r="FL198" s="16"/>
      <c r="FM198" s="16"/>
      <c r="FN198" s="16"/>
      <c r="FO198" s="17"/>
      <c r="FP198" s="17"/>
      <c r="FQ198" s="17"/>
      <c r="FR198" s="17"/>
      <c r="FS198" s="17"/>
      <c r="FT198" s="17"/>
      <c r="FU198" s="17"/>
      <c r="FV198" s="17"/>
      <c r="FW198" s="17"/>
      <c r="FX198" s="17"/>
      <c r="FY198" s="17"/>
      <c r="FZ198" s="17"/>
      <c r="GA198" s="17"/>
      <c r="GB198" s="17"/>
      <c r="GC198" s="17"/>
      <c r="GD198" s="13"/>
      <c r="GE198" s="13"/>
      <c r="GF198" s="13"/>
      <c r="GG198" s="13"/>
      <c r="GH198" s="13"/>
      <c r="GI198" s="13"/>
      <c r="GJ198" s="13"/>
      <c r="GK198" s="13"/>
    </row>
    <row r="199" spans="1:193" ht="18" customHeight="1">
      <c r="A199" s="18" t="str">
        <f t="shared" si="6"/>
        <v/>
      </c>
      <c r="B199" s="19"/>
      <c r="C199" s="20"/>
      <c r="D199" s="19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  <c r="BE199" s="20"/>
      <c r="BF199" s="20"/>
      <c r="BG199" s="20"/>
      <c r="BH199" s="20"/>
      <c r="BI199" s="20"/>
      <c r="BJ199" s="20"/>
      <c r="BK199" s="20"/>
      <c r="BL199" s="20"/>
      <c r="BM199" s="20"/>
      <c r="BN199" s="20"/>
      <c r="BO199" s="20"/>
      <c r="BP199" s="20"/>
      <c r="BQ199" s="20"/>
      <c r="BR199" s="20"/>
      <c r="BS199" s="20"/>
      <c r="BT199" s="20"/>
      <c r="BU199" s="20"/>
      <c r="BV199" s="20"/>
      <c r="BW199" s="20"/>
      <c r="BX199" s="20"/>
      <c r="BY199" s="20"/>
      <c r="BZ199" s="20"/>
      <c r="CA199" s="20"/>
      <c r="CB199" s="20"/>
      <c r="CC199" s="20"/>
      <c r="CD199" s="20"/>
      <c r="CE199" s="20"/>
      <c r="CF199" s="20"/>
      <c r="CG199" s="20"/>
      <c r="CH199" s="20"/>
      <c r="CI199" s="20"/>
      <c r="CJ199" s="20"/>
      <c r="CK199" s="20"/>
      <c r="CL199" s="20"/>
      <c r="CM199" s="20"/>
      <c r="CN199" s="20"/>
      <c r="CO199" s="20"/>
      <c r="CP199" s="20"/>
      <c r="CQ199" s="20"/>
      <c r="CR199" s="20"/>
      <c r="CS199" s="20"/>
      <c r="CT199" s="20"/>
      <c r="CU199" s="20"/>
      <c r="CV199" s="20"/>
      <c r="CW199" s="20"/>
      <c r="CX199" s="20"/>
      <c r="CY199" s="20"/>
      <c r="CZ199" s="20"/>
      <c r="DA199" s="20"/>
      <c r="DB199" s="20"/>
      <c r="DC199" s="20"/>
      <c r="DD199" s="20"/>
      <c r="DE199" s="20"/>
      <c r="DF199" s="20"/>
      <c r="DG199" s="20"/>
      <c r="DH199" s="20"/>
      <c r="DI199" s="20"/>
      <c r="DJ199" s="20"/>
      <c r="DK199" s="20"/>
      <c r="DL199" s="20"/>
      <c r="DM199" s="20"/>
      <c r="DN199" s="20"/>
      <c r="DO199" s="20"/>
      <c r="DP199" s="20"/>
      <c r="DQ199" s="20"/>
      <c r="DR199" s="20"/>
      <c r="DS199" s="20"/>
      <c r="DT199" s="20"/>
      <c r="DU199" s="20"/>
      <c r="DV199" s="20"/>
      <c r="DW199" s="20"/>
      <c r="DX199" s="20"/>
      <c r="DY199" s="20"/>
      <c r="DZ199" s="20"/>
      <c r="EA199" s="20"/>
      <c r="EB199" s="20"/>
      <c r="EC199" s="20"/>
      <c r="ED199" s="20"/>
      <c r="EE199" s="20"/>
      <c r="EF199" s="20"/>
      <c r="EG199" s="20"/>
      <c r="EH199" s="20"/>
      <c r="EI199" s="20"/>
      <c r="EJ199" s="20"/>
      <c r="EK199" s="20"/>
      <c r="EL199" s="20"/>
      <c r="EM199" s="20"/>
      <c r="EN199" s="20"/>
      <c r="EO199" s="20"/>
      <c r="EP199" s="20"/>
      <c r="EQ199" s="20"/>
      <c r="ER199" s="20"/>
      <c r="ES199" s="20"/>
      <c r="ET199" s="20"/>
      <c r="EU199" s="20"/>
      <c r="EV199" s="20"/>
      <c r="EW199" s="20"/>
      <c r="EX199" s="20"/>
      <c r="EY199" s="20"/>
      <c r="EZ199" s="20"/>
      <c r="FA199" s="20"/>
      <c r="FB199" s="20"/>
      <c r="FC199" s="20"/>
      <c r="FD199" s="20"/>
      <c r="FE199" s="20"/>
      <c r="FF199" s="20"/>
      <c r="FG199" s="20"/>
      <c r="FH199" s="20"/>
      <c r="FI199" s="20"/>
      <c r="FJ199" s="20"/>
      <c r="FK199" s="20"/>
      <c r="FL199" s="20"/>
      <c r="FM199" s="20"/>
      <c r="FN199" s="20"/>
      <c r="FO199" s="20"/>
      <c r="FP199" s="20"/>
      <c r="FQ199" s="20"/>
      <c r="FR199" s="20"/>
      <c r="FS199" s="20"/>
      <c r="FT199" s="20"/>
      <c r="FU199" s="20"/>
      <c r="FV199" s="20"/>
      <c r="FW199" s="20"/>
      <c r="FX199" s="20"/>
      <c r="FY199" s="20"/>
      <c r="FZ199" s="20"/>
      <c r="GA199" s="20"/>
      <c r="GB199" s="20"/>
      <c r="GC199" s="20"/>
      <c r="GD199" s="20"/>
      <c r="GE199" s="20"/>
      <c r="GF199" s="20"/>
      <c r="GG199" s="20"/>
      <c r="GH199" s="20"/>
      <c r="GI199" s="20"/>
      <c r="GJ199" s="20"/>
      <c r="GK199" s="20"/>
    </row>
    <row r="200" spans="1:193" ht="18" customHeight="1">
      <c r="A200" s="9" t="str">
        <f t="shared" si="6"/>
        <v/>
      </c>
      <c r="B200" s="10"/>
      <c r="C200" s="11"/>
      <c r="D200" s="10"/>
      <c r="E200" s="11"/>
      <c r="F200" s="11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  <c r="AX200" s="14"/>
      <c r="AY200" s="14"/>
      <c r="AZ200" s="14"/>
      <c r="BA200" s="14"/>
      <c r="BB200" s="14"/>
      <c r="BC200" s="15"/>
      <c r="BD200" s="15"/>
      <c r="BE200" s="15"/>
      <c r="BF200" s="15"/>
      <c r="BG200" s="15"/>
      <c r="BH200" s="15"/>
      <c r="BI200" s="15"/>
      <c r="BJ200" s="15"/>
      <c r="BK200" s="15"/>
      <c r="BL200" s="15"/>
      <c r="BM200" s="15"/>
      <c r="BN200" s="15"/>
      <c r="BO200" s="15"/>
      <c r="BP200" s="15"/>
      <c r="BQ200" s="15"/>
      <c r="BR200" s="15"/>
      <c r="BS200" s="12"/>
      <c r="BT200" s="12"/>
      <c r="BU200" s="12"/>
      <c r="BV200" s="12"/>
      <c r="BW200" s="12"/>
      <c r="BX200" s="12"/>
      <c r="BY200" s="12"/>
      <c r="BZ200" s="12"/>
      <c r="CA200" s="12"/>
      <c r="CB200" s="12"/>
      <c r="CC200" s="12"/>
      <c r="CD200" s="12"/>
      <c r="CE200" s="12"/>
      <c r="CF200" s="12"/>
      <c r="CG200" s="12"/>
      <c r="CH200" s="12"/>
      <c r="CI200" s="12"/>
      <c r="CJ200" s="12"/>
      <c r="CK200" s="12"/>
      <c r="CL200" s="12"/>
      <c r="CM200" s="15"/>
      <c r="CN200" s="15"/>
      <c r="CO200" s="15"/>
      <c r="CP200" s="15"/>
      <c r="CQ200" s="15"/>
      <c r="CR200" s="15"/>
      <c r="CS200" s="15"/>
      <c r="CT200" s="15"/>
      <c r="CU200" s="15"/>
      <c r="CV200" s="15"/>
      <c r="CW200" s="15"/>
      <c r="CX200" s="15"/>
      <c r="CY200" s="15"/>
      <c r="CZ200" s="15"/>
      <c r="DA200" s="15"/>
      <c r="DB200" s="15"/>
      <c r="DC200" s="15"/>
      <c r="DD200" s="15"/>
      <c r="DE200" s="15"/>
      <c r="DF200" s="15"/>
      <c r="DG200" s="14"/>
      <c r="DH200" s="14"/>
      <c r="DI200" s="14"/>
      <c r="DJ200" s="14"/>
      <c r="DK200" s="14"/>
      <c r="DL200" s="14"/>
      <c r="DM200" s="14"/>
      <c r="DN200" s="14"/>
      <c r="DO200" s="14"/>
      <c r="DP200" s="14"/>
      <c r="DQ200" s="14"/>
      <c r="DR200" s="14"/>
      <c r="DS200" s="14"/>
      <c r="DT200" s="14"/>
      <c r="DU200" s="14"/>
      <c r="DV200" s="14"/>
      <c r="DW200" s="14"/>
      <c r="DX200" s="14"/>
      <c r="DY200" s="14"/>
      <c r="DZ200" s="14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6"/>
      <c r="EV200" s="16"/>
      <c r="EW200" s="16"/>
      <c r="EX200" s="16"/>
      <c r="EY200" s="16"/>
      <c r="EZ200" s="16"/>
      <c r="FA200" s="16"/>
      <c r="FB200" s="16"/>
      <c r="FC200" s="16"/>
      <c r="FD200" s="16"/>
      <c r="FE200" s="16"/>
      <c r="FF200" s="16"/>
      <c r="FG200" s="16"/>
      <c r="FH200" s="16"/>
      <c r="FI200" s="16"/>
      <c r="FJ200" s="16"/>
      <c r="FK200" s="16"/>
      <c r="FL200" s="16"/>
      <c r="FM200" s="16"/>
      <c r="FN200" s="16"/>
      <c r="FO200" s="17"/>
      <c r="FP200" s="17"/>
      <c r="FQ200" s="17"/>
      <c r="FR200" s="17"/>
      <c r="FS200" s="17"/>
      <c r="FT200" s="17"/>
      <c r="FU200" s="17"/>
      <c r="FV200" s="17"/>
      <c r="FW200" s="17"/>
      <c r="FX200" s="17"/>
      <c r="FY200" s="17"/>
      <c r="FZ200" s="17"/>
      <c r="GA200" s="17"/>
      <c r="GB200" s="17"/>
      <c r="GC200" s="17"/>
      <c r="GD200" s="13"/>
      <c r="GE200" s="13"/>
      <c r="GF200" s="13"/>
      <c r="GG200" s="13"/>
      <c r="GH200" s="13"/>
      <c r="GI200" s="13"/>
      <c r="GJ200" s="13"/>
      <c r="GK200" s="13"/>
    </row>
    <row r="201" spans="1:193" ht="18" customHeight="1">
      <c r="A201" s="18" t="str">
        <f t="shared" si="6"/>
        <v/>
      </c>
      <c r="B201" s="19"/>
      <c r="C201" s="20"/>
      <c r="D201" s="19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20"/>
      <c r="BG201" s="20"/>
      <c r="BH201" s="20"/>
      <c r="BI201" s="20"/>
      <c r="BJ201" s="20"/>
      <c r="BK201" s="20"/>
      <c r="BL201" s="20"/>
      <c r="BM201" s="20"/>
      <c r="BN201" s="20"/>
      <c r="BO201" s="20"/>
      <c r="BP201" s="20"/>
      <c r="BQ201" s="20"/>
      <c r="BR201" s="20"/>
      <c r="BS201" s="20"/>
      <c r="BT201" s="20"/>
      <c r="BU201" s="20"/>
      <c r="BV201" s="20"/>
      <c r="BW201" s="20"/>
      <c r="BX201" s="20"/>
      <c r="BY201" s="20"/>
      <c r="BZ201" s="20"/>
      <c r="CA201" s="20"/>
      <c r="CB201" s="20"/>
      <c r="CC201" s="20"/>
      <c r="CD201" s="20"/>
      <c r="CE201" s="20"/>
      <c r="CF201" s="20"/>
      <c r="CG201" s="20"/>
      <c r="CH201" s="20"/>
      <c r="CI201" s="20"/>
      <c r="CJ201" s="20"/>
      <c r="CK201" s="20"/>
      <c r="CL201" s="20"/>
      <c r="CM201" s="20"/>
      <c r="CN201" s="20"/>
      <c r="CO201" s="20"/>
      <c r="CP201" s="20"/>
      <c r="CQ201" s="20"/>
      <c r="CR201" s="20"/>
      <c r="CS201" s="20"/>
      <c r="CT201" s="20"/>
      <c r="CU201" s="20"/>
      <c r="CV201" s="20"/>
      <c r="CW201" s="20"/>
      <c r="CX201" s="20"/>
      <c r="CY201" s="20"/>
      <c r="CZ201" s="20"/>
      <c r="DA201" s="20"/>
      <c r="DB201" s="20"/>
      <c r="DC201" s="20"/>
      <c r="DD201" s="20"/>
      <c r="DE201" s="20"/>
      <c r="DF201" s="20"/>
      <c r="DG201" s="20"/>
      <c r="DH201" s="20"/>
      <c r="DI201" s="20"/>
      <c r="DJ201" s="20"/>
      <c r="DK201" s="20"/>
      <c r="DL201" s="20"/>
      <c r="DM201" s="20"/>
      <c r="DN201" s="20"/>
      <c r="DO201" s="20"/>
      <c r="DP201" s="20"/>
      <c r="DQ201" s="20"/>
      <c r="DR201" s="20"/>
      <c r="DS201" s="20"/>
      <c r="DT201" s="20"/>
      <c r="DU201" s="20"/>
      <c r="DV201" s="20"/>
      <c r="DW201" s="20"/>
      <c r="DX201" s="20"/>
      <c r="DY201" s="20"/>
      <c r="DZ201" s="20"/>
      <c r="EA201" s="20"/>
      <c r="EB201" s="20"/>
      <c r="EC201" s="20"/>
      <c r="ED201" s="20"/>
      <c r="EE201" s="20"/>
      <c r="EF201" s="20"/>
      <c r="EG201" s="20"/>
      <c r="EH201" s="20"/>
      <c r="EI201" s="20"/>
      <c r="EJ201" s="20"/>
      <c r="EK201" s="20"/>
      <c r="EL201" s="20"/>
      <c r="EM201" s="20"/>
      <c r="EN201" s="20"/>
      <c r="EO201" s="20"/>
      <c r="EP201" s="20"/>
      <c r="EQ201" s="20"/>
      <c r="ER201" s="20"/>
      <c r="ES201" s="20"/>
      <c r="ET201" s="20"/>
      <c r="EU201" s="20"/>
      <c r="EV201" s="20"/>
      <c r="EW201" s="20"/>
      <c r="EX201" s="20"/>
      <c r="EY201" s="20"/>
      <c r="EZ201" s="20"/>
      <c r="FA201" s="20"/>
      <c r="FB201" s="20"/>
      <c r="FC201" s="20"/>
      <c r="FD201" s="20"/>
      <c r="FE201" s="20"/>
      <c r="FF201" s="20"/>
      <c r="FG201" s="20"/>
      <c r="FH201" s="20"/>
      <c r="FI201" s="20"/>
      <c r="FJ201" s="20"/>
      <c r="FK201" s="20"/>
      <c r="FL201" s="20"/>
      <c r="FM201" s="20"/>
      <c r="FN201" s="20"/>
      <c r="FO201" s="20"/>
      <c r="FP201" s="20"/>
      <c r="FQ201" s="20"/>
      <c r="FR201" s="20"/>
      <c r="FS201" s="20"/>
      <c r="FT201" s="20"/>
      <c r="FU201" s="20"/>
      <c r="FV201" s="20"/>
      <c r="FW201" s="20"/>
      <c r="FX201" s="20"/>
      <c r="FY201" s="20"/>
      <c r="FZ201" s="20"/>
      <c r="GA201" s="20"/>
      <c r="GB201" s="20"/>
      <c r="GC201" s="20"/>
      <c r="GD201" s="20"/>
      <c r="GE201" s="20"/>
      <c r="GF201" s="20"/>
      <c r="GG201" s="20"/>
      <c r="GH201" s="20"/>
      <c r="GI201" s="20"/>
      <c r="GJ201" s="20"/>
      <c r="GK201" s="20"/>
    </row>
    <row r="202" spans="1:193" ht="18" customHeight="1">
      <c r="A202" s="9" t="str">
        <f t="shared" si="6"/>
        <v/>
      </c>
      <c r="B202" s="10"/>
      <c r="C202" s="11"/>
      <c r="D202" s="10"/>
      <c r="E202" s="11"/>
      <c r="F202" s="11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4"/>
      <c r="AX202" s="14"/>
      <c r="AY202" s="14"/>
      <c r="AZ202" s="14"/>
      <c r="BA202" s="14"/>
      <c r="BB202" s="14"/>
      <c r="BC202" s="15"/>
      <c r="BD202" s="15"/>
      <c r="BE202" s="15"/>
      <c r="BF202" s="15"/>
      <c r="BG202" s="15"/>
      <c r="BH202" s="15"/>
      <c r="BI202" s="15"/>
      <c r="BJ202" s="15"/>
      <c r="BK202" s="15"/>
      <c r="BL202" s="15"/>
      <c r="BM202" s="15"/>
      <c r="BN202" s="15"/>
      <c r="BO202" s="15"/>
      <c r="BP202" s="15"/>
      <c r="BQ202" s="15"/>
      <c r="BR202" s="15"/>
      <c r="BS202" s="12"/>
      <c r="BT202" s="12"/>
      <c r="BU202" s="12"/>
      <c r="BV202" s="12"/>
      <c r="BW202" s="12"/>
      <c r="BX202" s="12"/>
      <c r="BY202" s="12"/>
      <c r="BZ202" s="12"/>
      <c r="CA202" s="12"/>
      <c r="CB202" s="12"/>
      <c r="CC202" s="12"/>
      <c r="CD202" s="12"/>
      <c r="CE202" s="12"/>
      <c r="CF202" s="12"/>
      <c r="CG202" s="12"/>
      <c r="CH202" s="12"/>
      <c r="CI202" s="12"/>
      <c r="CJ202" s="12"/>
      <c r="CK202" s="12"/>
      <c r="CL202" s="12"/>
      <c r="CM202" s="15"/>
      <c r="CN202" s="15"/>
      <c r="CO202" s="15"/>
      <c r="CP202" s="15"/>
      <c r="CQ202" s="15"/>
      <c r="CR202" s="15"/>
      <c r="CS202" s="15"/>
      <c r="CT202" s="15"/>
      <c r="CU202" s="15"/>
      <c r="CV202" s="15"/>
      <c r="CW202" s="15"/>
      <c r="CX202" s="15"/>
      <c r="CY202" s="15"/>
      <c r="CZ202" s="15"/>
      <c r="DA202" s="15"/>
      <c r="DB202" s="15"/>
      <c r="DC202" s="15"/>
      <c r="DD202" s="15"/>
      <c r="DE202" s="15"/>
      <c r="DF202" s="15"/>
      <c r="DG202" s="14"/>
      <c r="DH202" s="14"/>
      <c r="DI202" s="14"/>
      <c r="DJ202" s="14"/>
      <c r="DK202" s="14"/>
      <c r="DL202" s="14"/>
      <c r="DM202" s="14"/>
      <c r="DN202" s="14"/>
      <c r="DO202" s="14"/>
      <c r="DP202" s="14"/>
      <c r="DQ202" s="14"/>
      <c r="DR202" s="14"/>
      <c r="DS202" s="14"/>
      <c r="DT202" s="14"/>
      <c r="DU202" s="14"/>
      <c r="DV202" s="14"/>
      <c r="DW202" s="14"/>
      <c r="DX202" s="14"/>
      <c r="DY202" s="14"/>
      <c r="DZ202" s="14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6"/>
      <c r="EV202" s="16"/>
      <c r="EW202" s="16"/>
      <c r="EX202" s="16"/>
      <c r="EY202" s="16"/>
      <c r="EZ202" s="16"/>
      <c r="FA202" s="16"/>
      <c r="FB202" s="16"/>
      <c r="FC202" s="16"/>
      <c r="FD202" s="16"/>
      <c r="FE202" s="16"/>
      <c r="FF202" s="16"/>
      <c r="FG202" s="16"/>
      <c r="FH202" s="16"/>
      <c r="FI202" s="16"/>
      <c r="FJ202" s="16"/>
      <c r="FK202" s="16"/>
      <c r="FL202" s="16"/>
      <c r="FM202" s="16"/>
      <c r="FN202" s="16"/>
      <c r="FO202" s="17"/>
      <c r="FP202" s="17"/>
      <c r="FQ202" s="17"/>
      <c r="FR202" s="17"/>
      <c r="FS202" s="17"/>
      <c r="FT202" s="17"/>
      <c r="FU202" s="17"/>
      <c r="FV202" s="17"/>
      <c r="FW202" s="17"/>
      <c r="FX202" s="17"/>
      <c r="FY202" s="17"/>
      <c r="FZ202" s="17"/>
      <c r="GA202" s="17"/>
      <c r="GB202" s="17"/>
      <c r="GC202" s="17"/>
      <c r="GD202" s="13"/>
      <c r="GE202" s="13"/>
      <c r="GF202" s="13"/>
      <c r="GG202" s="13"/>
      <c r="GH202" s="13"/>
      <c r="GI202" s="13"/>
      <c r="GJ202" s="13"/>
      <c r="GK202" s="13"/>
    </row>
    <row r="203" spans="1:193" ht="18" customHeight="1">
      <c r="A203" s="18" t="str">
        <f t="shared" si="6"/>
        <v/>
      </c>
      <c r="B203" s="19"/>
      <c r="C203" s="20"/>
      <c r="D203" s="19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20"/>
      <c r="BG203" s="20"/>
      <c r="BH203" s="20"/>
      <c r="BI203" s="20"/>
      <c r="BJ203" s="20"/>
      <c r="BK203" s="20"/>
      <c r="BL203" s="20"/>
      <c r="BM203" s="20"/>
      <c r="BN203" s="20"/>
      <c r="BO203" s="20"/>
      <c r="BP203" s="20"/>
      <c r="BQ203" s="20"/>
      <c r="BR203" s="20"/>
      <c r="BS203" s="20"/>
      <c r="BT203" s="20"/>
      <c r="BU203" s="20"/>
      <c r="BV203" s="20"/>
      <c r="BW203" s="20"/>
      <c r="BX203" s="20"/>
      <c r="BY203" s="20"/>
      <c r="BZ203" s="20"/>
      <c r="CA203" s="20"/>
      <c r="CB203" s="20"/>
      <c r="CC203" s="20"/>
      <c r="CD203" s="20"/>
      <c r="CE203" s="20"/>
      <c r="CF203" s="20"/>
      <c r="CG203" s="20"/>
      <c r="CH203" s="20"/>
      <c r="CI203" s="20"/>
      <c r="CJ203" s="20"/>
      <c r="CK203" s="20"/>
      <c r="CL203" s="20"/>
      <c r="CM203" s="20"/>
      <c r="CN203" s="20"/>
      <c r="CO203" s="20"/>
      <c r="CP203" s="20"/>
      <c r="CQ203" s="20"/>
      <c r="CR203" s="20"/>
      <c r="CS203" s="20"/>
      <c r="CT203" s="20"/>
      <c r="CU203" s="20"/>
      <c r="CV203" s="20"/>
      <c r="CW203" s="20"/>
      <c r="CX203" s="20"/>
      <c r="CY203" s="20"/>
      <c r="CZ203" s="20"/>
      <c r="DA203" s="20"/>
      <c r="DB203" s="20"/>
      <c r="DC203" s="20"/>
      <c r="DD203" s="20"/>
      <c r="DE203" s="20"/>
      <c r="DF203" s="20"/>
      <c r="DG203" s="20"/>
      <c r="DH203" s="20"/>
      <c r="DI203" s="20"/>
      <c r="DJ203" s="20"/>
      <c r="DK203" s="20"/>
      <c r="DL203" s="20"/>
      <c r="DM203" s="20"/>
      <c r="DN203" s="20"/>
      <c r="DO203" s="20"/>
      <c r="DP203" s="20"/>
      <c r="DQ203" s="20"/>
      <c r="DR203" s="20"/>
      <c r="DS203" s="20"/>
      <c r="DT203" s="20"/>
      <c r="DU203" s="20"/>
      <c r="DV203" s="20"/>
      <c r="DW203" s="20"/>
      <c r="DX203" s="20"/>
      <c r="DY203" s="20"/>
      <c r="DZ203" s="20"/>
      <c r="EA203" s="20"/>
      <c r="EB203" s="20"/>
      <c r="EC203" s="20"/>
      <c r="ED203" s="20"/>
      <c r="EE203" s="20"/>
      <c r="EF203" s="20"/>
      <c r="EG203" s="20"/>
      <c r="EH203" s="20"/>
      <c r="EI203" s="20"/>
      <c r="EJ203" s="20"/>
      <c r="EK203" s="20"/>
      <c r="EL203" s="20"/>
      <c r="EM203" s="20"/>
      <c r="EN203" s="20"/>
      <c r="EO203" s="20"/>
      <c r="EP203" s="20"/>
      <c r="EQ203" s="20"/>
      <c r="ER203" s="20"/>
      <c r="ES203" s="20"/>
      <c r="ET203" s="20"/>
      <c r="EU203" s="20"/>
      <c r="EV203" s="20"/>
      <c r="EW203" s="20"/>
      <c r="EX203" s="20"/>
      <c r="EY203" s="20"/>
      <c r="EZ203" s="20"/>
      <c r="FA203" s="20"/>
      <c r="FB203" s="20"/>
      <c r="FC203" s="20"/>
      <c r="FD203" s="20"/>
      <c r="FE203" s="20"/>
      <c r="FF203" s="20"/>
      <c r="FG203" s="20"/>
      <c r="FH203" s="20"/>
      <c r="FI203" s="20"/>
      <c r="FJ203" s="20"/>
      <c r="FK203" s="20"/>
      <c r="FL203" s="20"/>
      <c r="FM203" s="20"/>
      <c r="FN203" s="20"/>
      <c r="FO203" s="20"/>
      <c r="FP203" s="20"/>
      <c r="FQ203" s="20"/>
      <c r="FR203" s="20"/>
      <c r="FS203" s="20"/>
      <c r="FT203" s="20"/>
      <c r="FU203" s="20"/>
      <c r="FV203" s="20"/>
      <c r="FW203" s="20"/>
      <c r="FX203" s="20"/>
      <c r="FY203" s="20"/>
      <c r="FZ203" s="20"/>
      <c r="GA203" s="20"/>
      <c r="GB203" s="20"/>
      <c r="GC203" s="20"/>
      <c r="GD203" s="20"/>
      <c r="GE203" s="20"/>
      <c r="GF203" s="20"/>
      <c r="GG203" s="20"/>
      <c r="GH203" s="20"/>
      <c r="GI203" s="20"/>
      <c r="GJ203" s="20"/>
      <c r="GK203" s="20"/>
    </row>
    <row r="204" spans="1:193" ht="18" customHeight="1">
      <c r="A204" s="9" t="str">
        <f t="shared" si="6"/>
        <v/>
      </c>
      <c r="B204" s="10"/>
      <c r="C204" s="11"/>
      <c r="D204" s="10"/>
      <c r="E204" s="11"/>
      <c r="F204" s="11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14"/>
      <c r="AX204" s="14"/>
      <c r="AY204" s="14"/>
      <c r="AZ204" s="14"/>
      <c r="BA204" s="14"/>
      <c r="BB204" s="14"/>
      <c r="BC204" s="15"/>
      <c r="BD204" s="15"/>
      <c r="BE204" s="15"/>
      <c r="BF204" s="15"/>
      <c r="BG204" s="15"/>
      <c r="BH204" s="15"/>
      <c r="BI204" s="15"/>
      <c r="BJ204" s="15"/>
      <c r="BK204" s="15"/>
      <c r="BL204" s="15"/>
      <c r="BM204" s="15"/>
      <c r="BN204" s="15"/>
      <c r="BO204" s="15"/>
      <c r="BP204" s="15"/>
      <c r="BQ204" s="15"/>
      <c r="BR204" s="15"/>
      <c r="BS204" s="12"/>
      <c r="BT204" s="12"/>
      <c r="BU204" s="12"/>
      <c r="BV204" s="12"/>
      <c r="BW204" s="12"/>
      <c r="BX204" s="12"/>
      <c r="BY204" s="12"/>
      <c r="BZ204" s="12"/>
      <c r="CA204" s="12"/>
      <c r="CB204" s="12"/>
      <c r="CC204" s="12"/>
      <c r="CD204" s="12"/>
      <c r="CE204" s="12"/>
      <c r="CF204" s="12"/>
      <c r="CG204" s="12"/>
      <c r="CH204" s="12"/>
      <c r="CI204" s="12"/>
      <c r="CJ204" s="12"/>
      <c r="CK204" s="12"/>
      <c r="CL204" s="12"/>
      <c r="CM204" s="15"/>
      <c r="CN204" s="15"/>
      <c r="CO204" s="15"/>
      <c r="CP204" s="15"/>
      <c r="CQ204" s="15"/>
      <c r="CR204" s="15"/>
      <c r="CS204" s="15"/>
      <c r="CT204" s="15"/>
      <c r="CU204" s="15"/>
      <c r="CV204" s="15"/>
      <c r="CW204" s="15"/>
      <c r="CX204" s="15"/>
      <c r="CY204" s="15"/>
      <c r="CZ204" s="15"/>
      <c r="DA204" s="15"/>
      <c r="DB204" s="15"/>
      <c r="DC204" s="15"/>
      <c r="DD204" s="15"/>
      <c r="DE204" s="15"/>
      <c r="DF204" s="15"/>
      <c r="DG204" s="14"/>
      <c r="DH204" s="14"/>
      <c r="DI204" s="14"/>
      <c r="DJ204" s="14"/>
      <c r="DK204" s="14"/>
      <c r="DL204" s="14"/>
      <c r="DM204" s="14"/>
      <c r="DN204" s="14"/>
      <c r="DO204" s="14"/>
      <c r="DP204" s="14"/>
      <c r="DQ204" s="14"/>
      <c r="DR204" s="14"/>
      <c r="DS204" s="14"/>
      <c r="DT204" s="14"/>
      <c r="DU204" s="14"/>
      <c r="DV204" s="14"/>
      <c r="DW204" s="14"/>
      <c r="DX204" s="14"/>
      <c r="DY204" s="14"/>
      <c r="DZ204" s="14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6"/>
      <c r="EV204" s="16"/>
      <c r="EW204" s="16"/>
      <c r="EX204" s="16"/>
      <c r="EY204" s="16"/>
      <c r="EZ204" s="16"/>
      <c r="FA204" s="16"/>
      <c r="FB204" s="16"/>
      <c r="FC204" s="16"/>
      <c r="FD204" s="16"/>
      <c r="FE204" s="16"/>
      <c r="FF204" s="16"/>
      <c r="FG204" s="16"/>
      <c r="FH204" s="16"/>
      <c r="FI204" s="16"/>
      <c r="FJ204" s="16"/>
      <c r="FK204" s="16"/>
      <c r="FL204" s="16"/>
      <c r="FM204" s="16"/>
      <c r="FN204" s="16"/>
      <c r="FO204" s="17"/>
      <c r="FP204" s="17"/>
      <c r="FQ204" s="17"/>
      <c r="FR204" s="17"/>
      <c r="FS204" s="17"/>
      <c r="FT204" s="17"/>
      <c r="FU204" s="17"/>
      <c r="FV204" s="17"/>
      <c r="FW204" s="17"/>
      <c r="FX204" s="17"/>
      <c r="FY204" s="17"/>
      <c r="FZ204" s="17"/>
      <c r="GA204" s="17"/>
      <c r="GB204" s="17"/>
      <c r="GC204" s="17"/>
      <c r="GD204" s="13"/>
      <c r="GE204" s="13"/>
      <c r="GF204" s="13"/>
      <c r="GG204" s="13"/>
      <c r="GH204" s="13"/>
      <c r="GI204" s="13"/>
      <c r="GJ204" s="13"/>
      <c r="GK204" s="13"/>
    </row>
    <row r="205" spans="1:193" ht="18" customHeight="1">
      <c r="A205" s="18" t="str">
        <f t="shared" si="6"/>
        <v/>
      </c>
      <c r="B205" s="19"/>
      <c r="C205" s="20"/>
      <c r="D205" s="19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20"/>
      <c r="BG205" s="20"/>
      <c r="BH205" s="20"/>
      <c r="BI205" s="20"/>
      <c r="BJ205" s="20"/>
      <c r="BK205" s="20"/>
      <c r="BL205" s="20"/>
      <c r="BM205" s="20"/>
      <c r="BN205" s="20"/>
      <c r="BO205" s="20"/>
      <c r="BP205" s="20"/>
      <c r="BQ205" s="20"/>
      <c r="BR205" s="20"/>
      <c r="BS205" s="20"/>
      <c r="BT205" s="20"/>
      <c r="BU205" s="20"/>
      <c r="BV205" s="20"/>
      <c r="BW205" s="20"/>
      <c r="BX205" s="20"/>
      <c r="BY205" s="20"/>
      <c r="BZ205" s="20"/>
      <c r="CA205" s="20"/>
      <c r="CB205" s="20"/>
      <c r="CC205" s="20"/>
      <c r="CD205" s="20"/>
      <c r="CE205" s="20"/>
      <c r="CF205" s="20"/>
      <c r="CG205" s="20"/>
      <c r="CH205" s="20"/>
      <c r="CI205" s="20"/>
      <c r="CJ205" s="20"/>
      <c r="CK205" s="20"/>
      <c r="CL205" s="20"/>
      <c r="CM205" s="20"/>
      <c r="CN205" s="20"/>
      <c r="CO205" s="20"/>
      <c r="CP205" s="20"/>
      <c r="CQ205" s="20"/>
      <c r="CR205" s="20"/>
      <c r="CS205" s="20"/>
      <c r="CT205" s="20"/>
      <c r="CU205" s="20"/>
      <c r="CV205" s="20"/>
      <c r="CW205" s="20"/>
      <c r="CX205" s="20"/>
      <c r="CY205" s="20"/>
      <c r="CZ205" s="20"/>
      <c r="DA205" s="20"/>
      <c r="DB205" s="20"/>
      <c r="DC205" s="20"/>
      <c r="DD205" s="20"/>
      <c r="DE205" s="20"/>
      <c r="DF205" s="20"/>
      <c r="DG205" s="20"/>
      <c r="DH205" s="20"/>
      <c r="DI205" s="20"/>
      <c r="DJ205" s="20"/>
      <c r="DK205" s="20"/>
      <c r="DL205" s="20"/>
      <c r="DM205" s="20"/>
      <c r="DN205" s="20"/>
      <c r="DO205" s="20"/>
      <c r="DP205" s="20"/>
      <c r="DQ205" s="20"/>
      <c r="DR205" s="20"/>
      <c r="DS205" s="20"/>
      <c r="DT205" s="20"/>
      <c r="DU205" s="20"/>
      <c r="DV205" s="20"/>
      <c r="DW205" s="20"/>
      <c r="DX205" s="20"/>
      <c r="DY205" s="20"/>
      <c r="DZ205" s="20"/>
      <c r="EA205" s="20"/>
      <c r="EB205" s="20"/>
      <c r="EC205" s="20"/>
      <c r="ED205" s="20"/>
      <c r="EE205" s="20"/>
      <c r="EF205" s="20"/>
      <c r="EG205" s="20"/>
      <c r="EH205" s="20"/>
      <c r="EI205" s="20"/>
      <c r="EJ205" s="20"/>
      <c r="EK205" s="20"/>
      <c r="EL205" s="20"/>
      <c r="EM205" s="20"/>
      <c r="EN205" s="20"/>
      <c r="EO205" s="20"/>
      <c r="EP205" s="20"/>
      <c r="EQ205" s="20"/>
      <c r="ER205" s="20"/>
      <c r="ES205" s="20"/>
      <c r="ET205" s="20"/>
      <c r="EU205" s="20"/>
      <c r="EV205" s="20"/>
      <c r="EW205" s="20"/>
      <c r="EX205" s="20"/>
      <c r="EY205" s="20"/>
      <c r="EZ205" s="20"/>
      <c r="FA205" s="20"/>
      <c r="FB205" s="20"/>
      <c r="FC205" s="20"/>
      <c r="FD205" s="20"/>
      <c r="FE205" s="20"/>
      <c r="FF205" s="20"/>
      <c r="FG205" s="20"/>
      <c r="FH205" s="20"/>
      <c r="FI205" s="20"/>
      <c r="FJ205" s="20"/>
      <c r="FK205" s="20"/>
      <c r="FL205" s="20"/>
      <c r="FM205" s="20"/>
      <c r="FN205" s="20"/>
      <c r="FO205" s="20"/>
      <c r="FP205" s="20"/>
      <c r="FQ205" s="20"/>
      <c r="FR205" s="20"/>
      <c r="FS205" s="20"/>
      <c r="FT205" s="20"/>
      <c r="FU205" s="20"/>
      <c r="FV205" s="20"/>
      <c r="FW205" s="20"/>
      <c r="FX205" s="20"/>
      <c r="FY205" s="20"/>
      <c r="FZ205" s="20"/>
      <c r="GA205" s="20"/>
      <c r="GB205" s="20"/>
      <c r="GC205" s="20"/>
      <c r="GD205" s="20"/>
      <c r="GE205" s="20"/>
      <c r="GF205" s="20"/>
      <c r="GG205" s="20"/>
      <c r="GH205" s="20"/>
      <c r="GI205" s="20"/>
      <c r="GJ205" s="20"/>
      <c r="GK205" s="20"/>
    </row>
  </sheetData>
  <mergeCells count="61">
    <mergeCell ref="FX4:FZ4"/>
    <mergeCell ref="GA4:GC4"/>
    <mergeCell ref="FG4:FJ4"/>
    <mergeCell ref="FK4:FN4"/>
    <mergeCell ref="FO4:FQ4"/>
    <mergeCell ref="FR4:FT4"/>
    <mergeCell ref="FU4:FW4"/>
    <mergeCell ref="EM4:EP4"/>
    <mergeCell ref="EQ4:ET4"/>
    <mergeCell ref="EU4:EX4"/>
    <mergeCell ref="EY4:FB4"/>
    <mergeCell ref="FC4:FF4"/>
    <mergeCell ref="DS4:DV4"/>
    <mergeCell ref="DW4:DZ4"/>
    <mergeCell ref="EA4:ED4"/>
    <mergeCell ref="EE4:EH4"/>
    <mergeCell ref="EI4:EL4"/>
    <mergeCell ref="CY4:DB4"/>
    <mergeCell ref="DC4:DF4"/>
    <mergeCell ref="DG4:DJ4"/>
    <mergeCell ref="DK4:DN4"/>
    <mergeCell ref="DO4:DR4"/>
    <mergeCell ref="CE4:CH4"/>
    <mergeCell ref="CI4:CL4"/>
    <mergeCell ref="CM4:CP4"/>
    <mergeCell ref="CQ4:CT4"/>
    <mergeCell ref="CU4:CX4"/>
    <mergeCell ref="BK4:BN4"/>
    <mergeCell ref="BO4:BR4"/>
    <mergeCell ref="BS4:BV4"/>
    <mergeCell ref="BW4:BZ4"/>
    <mergeCell ref="CA4:CD4"/>
    <mergeCell ref="AQ4:AT4"/>
    <mergeCell ref="AU4:AX4"/>
    <mergeCell ref="AY4:BB4"/>
    <mergeCell ref="BC4:BF4"/>
    <mergeCell ref="BG4:BJ4"/>
    <mergeCell ref="W4:Z4"/>
    <mergeCell ref="AA4:AD4"/>
    <mergeCell ref="AE4:AH4"/>
    <mergeCell ref="AI4:AL4"/>
    <mergeCell ref="AM4:AP4"/>
    <mergeCell ref="A4:F4"/>
    <mergeCell ref="G4:J4"/>
    <mergeCell ref="K4:N4"/>
    <mergeCell ref="O4:R4"/>
    <mergeCell ref="S4:V4"/>
    <mergeCell ref="A1:GK1"/>
    <mergeCell ref="A2:GK2"/>
    <mergeCell ref="A3:F3"/>
    <mergeCell ref="G3:V3"/>
    <mergeCell ref="W3:AL3"/>
    <mergeCell ref="AM3:BB3"/>
    <mergeCell ref="BC3:BR3"/>
    <mergeCell ref="BS3:CL3"/>
    <mergeCell ref="CM3:DF3"/>
    <mergeCell ref="DG3:DZ3"/>
    <mergeCell ref="EA3:ET3"/>
    <mergeCell ref="EU3:FN3"/>
    <mergeCell ref="FO3:GC3"/>
    <mergeCell ref="GD3:GK3"/>
  </mergeCells>
  <dataValidations count="4">
    <dataValidation type="whole" allowBlank="1" sqref="G6:FN205" xr:uid="{00000000-0002-0000-0100-000000000000}">
      <formula1>1</formula1>
      <formula2>10</formula2>
    </dataValidation>
    <dataValidation type="list" allowBlank="1" sqref="E6:E205" xr:uid="{00000000-0002-0000-0100-000001000000}">
      <formula1>"Dealer/Retailer,Distributor,Wholesaler,Contractor/Painter,End Consumer,Architect/Designer,Industry Expert,Researcher"</formula1>
      <formula2>0</formula2>
    </dataValidation>
    <dataValidation type="list" allowBlank="1" sqref="FO6:GK205" xr:uid="{00000000-0002-0000-0100-000002000000}">
      <formula1>"Asian Paints,Birla Opus,Dulux Paints,JSW Paints"</formula1>
      <formula2>0</formula2>
    </dataValidation>
    <dataValidation type="list" allowBlank="1" sqref="F6:F205" xr:uid="{00000000-0002-0000-0100-000004000000}">
      <formula1>"&lt;1 year,1-2 years,3-5 years,6-10 years,10+ years"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9"/>
  <sheetViews>
    <sheetView showGridLines="0" zoomScale="99" zoomScaleNormal="100" workbookViewId="0">
      <pane ySplit="3" topLeftCell="A26" activePane="bottomLeft" state="frozen"/>
      <selection pane="bottomLeft" activeCell="E32" sqref="E32"/>
    </sheetView>
  </sheetViews>
  <sheetFormatPr defaultColWidth="8.6328125" defaultRowHeight="14.5"/>
  <cols>
    <col min="1" max="1" width="41" customWidth="1"/>
    <col min="2" max="2" width="19.1796875" customWidth="1"/>
    <col min="3" max="3" width="10" customWidth="1"/>
    <col min="4" max="7" width="16" customWidth="1"/>
    <col min="8" max="8" width="18" customWidth="1"/>
  </cols>
  <sheetData>
    <row r="1" spans="1:12" ht="30" customHeight="1">
      <c r="A1" s="174" t="s">
        <v>290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</row>
    <row r="2" spans="1:12" ht="15.75" customHeight="1">
      <c r="A2" s="175" t="s">
        <v>291</v>
      </c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</row>
    <row r="3" spans="1:12" ht="21.75" customHeight="1">
      <c r="A3" s="176" t="s">
        <v>292</v>
      </c>
      <c r="B3" s="176"/>
      <c r="C3" s="21" t="s">
        <v>293</v>
      </c>
      <c r="D3" s="22" t="s">
        <v>294</v>
      </c>
      <c r="E3" s="23" t="s">
        <v>295</v>
      </c>
      <c r="F3" s="24" t="s">
        <v>296</v>
      </c>
      <c r="G3" s="25" t="s">
        <v>297</v>
      </c>
    </row>
    <row r="4" spans="1:12" ht="21.75" customHeight="1">
      <c r="A4" s="177" t="s">
        <v>298</v>
      </c>
      <c r="B4" s="177"/>
      <c r="C4" s="177"/>
      <c r="D4" s="177"/>
      <c r="E4" s="177"/>
      <c r="F4" s="177"/>
      <c r="G4" s="177"/>
    </row>
    <row r="5" spans="1:12" ht="19.5" customHeight="1">
      <c r="A5" s="26" t="s">
        <v>299</v>
      </c>
      <c r="B5" s="123" t="s">
        <v>300</v>
      </c>
      <c r="C5" s="28" t="s">
        <v>301</v>
      </c>
      <c r="D5" s="29" t="str">
        <f>IFERROR(ROUND(AVERAGEIF('📝 DATA ENTRY'!G6:G205,"&gt;0"),1),"")</f>
        <v/>
      </c>
      <c r="E5" s="30" t="str">
        <f>IFERROR(ROUND(AVERAGEIF('📝 DATA ENTRY'!H6:H205,"&gt;0"),1),"")</f>
        <v/>
      </c>
      <c r="F5" s="31" t="str">
        <f>IFERROR(ROUND(AVERAGEIF('📝 DATA ENTRY'!I6:I205,"&gt;0"),1),"")</f>
        <v/>
      </c>
      <c r="G5" s="32" t="str">
        <f>IFERROR(ROUND(AVERAGEIF('📝 DATA ENTRY'!J6:J205,"&gt;0"),1),"")</f>
        <v/>
      </c>
    </row>
    <row r="6" spans="1:12" ht="19.5" customHeight="1">
      <c r="A6" s="33" t="s">
        <v>302</v>
      </c>
      <c r="B6" s="124" t="s">
        <v>303</v>
      </c>
      <c r="C6" s="28" t="s">
        <v>301</v>
      </c>
      <c r="D6" s="35" t="str">
        <f>IFERROR(ROUND(AVERAGEIF('📝 DATA ENTRY'!K6:K205,"&gt;0"),1),"")</f>
        <v/>
      </c>
      <c r="E6" s="36" t="str">
        <f>IFERROR(ROUND(AVERAGEIF('📝 DATA ENTRY'!L6:L205,"&gt;0"),1),"")</f>
        <v/>
      </c>
      <c r="F6" s="37" t="str">
        <f>IFERROR(ROUND(AVERAGEIF('📝 DATA ENTRY'!M6:M205,"&gt;0"),1),"")</f>
        <v/>
      </c>
      <c r="G6" s="38" t="str">
        <f>IFERROR(ROUND(AVERAGEIF('📝 DATA ENTRY'!N6:N205,"&gt;0"),1),"")</f>
        <v/>
      </c>
    </row>
    <row r="7" spans="1:12" ht="19.5" customHeight="1">
      <c r="A7" s="26" t="s">
        <v>304</v>
      </c>
      <c r="B7" s="123" t="s">
        <v>305</v>
      </c>
      <c r="C7" s="28" t="s">
        <v>306</v>
      </c>
      <c r="D7" s="29" t="str">
        <f>IFERROR(ROUND(AVERAGEIF('📝 DATA ENTRY'!O6:O205,"&gt;0"),1),"")</f>
        <v/>
      </c>
      <c r="E7" s="30" t="str">
        <f>IFERROR(ROUND(AVERAGEIF('📝 DATA ENTRY'!P6:P205,"&gt;0"),1),"")</f>
        <v/>
      </c>
      <c r="F7" s="31" t="str">
        <f>IFERROR(ROUND(AVERAGEIF('📝 DATA ENTRY'!Q6:Q205,"&gt;0"),1),"")</f>
        <v/>
      </c>
      <c r="G7" s="32" t="str">
        <f>IFERROR(ROUND(AVERAGEIF('📝 DATA ENTRY'!R6:R205,"&gt;0"),1),"")</f>
        <v/>
      </c>
    </row>
    <row r="8" spans="1:12" ht="19.5" customHeight="1">
      <c r="A8" s="33" t="s">
        <v>307</v>
      </c>
      <c r="B8" s="124" t="s">
        <v>308</v>
      </c>
      <c r="C8" s="28" t="s">
        <v>306</v>
      </c>
      <c r="D8" s="35" t="str">
        <f>IFERROR(ROUND(AVERAGEIF('📝 DATA ENTRY'!S6:S205,"&gt;0"),1),"")</f>
        <v/>
      </c>
      <c r="E8" s="36" t="str">
        <f>IFERROR(ROUND(AVERAGEIF('📝 DATA ENTRY'!T6:T205,"&gt;0"),1),"")</f>
        <v/>
      </c>
      <c r="F8" s="37" t="str">
        <f>IFERROR(ROUND(AVERAGEIF('📝 DATA ENTRY'!U6:U205,"&gt;0"),1),"")</f>
        <v/>
      </c>
      <c r="G8" s="38" t="str">
        <f>IFERROR(ROUND(AVERAGEIF('📝 DATA ENTRY'!V6:V205,"&gt;0"),1),"")</f>
        <v/>
      </c>
    </row>
    <row r="9" spans="1:12" ht="24" customHeight="1">
      <c r="A9" s="178" t="s">
        <v>309</v>
      </c>
      <c r="B9" s="178"/>
      <c r="C9" s="39" t="s">
        <v>310</v>
      </c>
      <c r="D9" s="40" t="str">
        <f>IFERROR(ROUND(D5*0.3+D6*0.3+D7*0.2+D8*0.2,1),"")</f>
        <v/>
      </c>
      <c r="E9" s="40" t="str">
        <f>IFERROR(ROUND(E5*0.3+E6*0.3+E7*0.2+E8*0.2,1),"")</f>
        <v/>
      </c>
      <c r="F9" s="40" t="str">
        <f>IFERROR(ROUND(F5*0.3+F6*0.3+F7*0.2+F8*0.2,1),"")</f>
        <v/>
      </c>
      <c r="G9" s="40" t="str">
        <f>IFERROR(ROUND(G5*0.3+G6*0.3+G7*0.2+G8*0.2,1),"")</f>
        <v/>
      </c>
    </row>
    <row r="11" spans="1:12" ht="21.75" customHeight="1">
      <c r="A11" s="179" t="s">
        <v>311</v>
      </c>
      <c r="B11" s="179"/>
      <c r="C11" s="179"/>
      <c r="D11" s="179"/>
      <c r="E11" s="179"/>
      <c r="F11" s="179"/>
      <c r="G11" s="179"/>
    </row>
    <row r="12" spans="1:12" ht="19.5" customHeight="1">
      <c r="A12" s="33" t="s">
        <v>312</v>
      </c>
      <c r="B12" s="34" t="s">
        <v>313</v>
      </c>
      <c r="C12" s="28" t="s">
        <v>314</v>
      </c>
      <c r="D12" s="41" t="str">
        <f>IFERROR(ROUND(AVERAGEIF('📝 DATA ENTRY'!W6:W205,"&gt;0"),1),"")</f>
        <v/>
      </c>
      <c r="E12" s="42" t="str">
        <f>IFERROR(ROUND(AVERAGEIF('📝 DATA ENTRY'!X6:X205,"&gt;0"),1),"")</f>
        <v/>
      </c>
      <c r="F12" s="43" t="str">
        <f>IFERROR(ROUND(AVERAGEIF('📝 DATA ENTRY'!Y6:Y205,"&gt;0"),1),"")</f>
        <v/>
      </c>
      <c r="G12" s="44" t="str">
        <f>IFERROR(ROUND(AVERAGEIF('📝 DATA ENTRY'!Z6:Z205,"&gt;0"),1),"")</f>
        <v/>
      </c>
    </row>
    <row r="13" spans="1:12" ht="19.5" customHeight="1">
      <c r="A13" s="26" t="s">
        <v>315</v>
      </c>
      <c r="B13" s="27" t="s">
        <v>316</v>
      </c>
      <c r="C13" s="28" t="s">
        <v>314</v>
      </c>
      <c r="D13" s="29" t="str">
        <f>IFERROR(ROUND(AVERAGEIF('📝 DATA ENTRY'!AA6:AA205,"&gt;0"),1),"")</f>
        <v/>
      </c>
      <c r="E13" s="30" t="str">
        <f>IFERROR(ROUND(AVERAGEIF('📝 DATA ENTRY'!AB6:AB205,"&gt;0"),1),"")</f>
        <v/>
      </c>
      <c r="F13" s="31" t="str">
        <f>IFERROR(ROUND(AVERAGEIF('📝 DATA ENTRY'!AC6:AC205,"&gt;0"),1),"")</f>
        <v/>
      </c>
      <c r="G13" s="32" t="str">
        <f>IFERROR(ROUND(AVERAGEIF('📝 DATA ENTRY'!AD6:AD205,"&gt;0"),1),"")</f>
        <v/>
      </c>
    </row>
    <row r="14" spans="1:12" ht="19.5" customHeight="1">
      <c r="A14" s="33" t="s">
        <v>317</v>
      </c>
      <c r="B14" s="34" t="s">
        <v>318</v>
      </c>
      <c r="C14" s="28" t="s">
        <v>314</v>
      </c>
      <c r="D14" s="41" t="str">
        <f>IFERROR(ROUND(AVERAGEIF('📝 DATA ENTRY'!AE6:AE205,"&gt;0"),1),"")</f>
        <v/>
      </c>
      <c r="E14" s="42" t="str">
        <f>IFERROR(ROUND(AVERAGEIF('📝 DATA ENTRY'!AF6:AF205,"&gt;0"),1),"")</f>
        <v/>
      </c>
      <c r="F14" s="43" t="str">
        <f>IFERROR(ROUND(AVERAGEIF('📝 DATA ENTRY'!AG6:AG205,"&gt;0"),1),"")</f>
        <v/>
      </c>
      <c r="G14" s="44" t="str">
        <f>IFERROR(ROUND(AVERAGEIF('📝 DATA ENTRY'!AH6:AH205,"&gt;0"),1),"")</f>
        <v/>
      </c>
    </row>
    <row r="15" spans="1:12" ht="19.5" customHeight="1">
      <c r="A15" s="26" t="s">
        <v>319</v>
      </c>
      <c r="B15" s="27" t="s">
        <v>320</v>
      </c>
      <c r="C15" s="28" t="s">
        <v>314</v>
      </c>
      <c r="D15" s="29" t="str">
        <f>IFERROR(ROUND(AVERAGEIF('📝 DATA ENTRY'!AI6:AI205,"&gt;0"),1),"")</f>
        <v/>
      </c>
      <c r="E15" s="30" t="str">
        <f>IFERROR(ROUND(AVERAGEIF('📝 DATA ENTRY'!AJ6:AJ205,"&gt;0"),1),"")</f>
        <v/>
      </c>
      <c r="F15" s="31" t="str">
        <f>IFERROR(ROUND(AVERAGEIF('📝 DATA ENTRY'!AK6:AK205,"&gt;0"),1),"")</f>
        <v/>
      </c>
      <c r="G15" s="32" t="str">
        <f>IFERROR(ROUND(AVERAGEIF('📝 DATA ENTRY'!AL6:AL205,"&gt;0"),1),"")</f>
        <v/>
      </c>
    </row>
    <row r="16" spans="1:12" ht="24" customHeight="1">
      <c r="A16" s="180" t="s">
        <v>321</v>
      </c>
      <c r="B16" s="180"/>
      <c r="C16" s="45" t="s">
        <v>310</v>
      </c>
      <c r="D16" s="46" t="str">
        <f>IFERROR(ROUND(D12*0.25+D13*0.25+D14*0.25+D15*0.25,1),"")</f>
        <v/>
      </c>
      <c r="E16" s="46" t="str">
        <f>IFERROR(ROUND(E12*0.25+E13*0.25+E14*0.25+E15*0.25,1),"")</f>
        <v/>
      </c>
      <c r="F16" s="46" t="str">
        <f>IFERROR(ROUND(F12*0.25+F13*0.25+F14*0.25+F15*0.25,1),"")</f>
        <v/>
      </c>
      <c r="G16" s="46" t="str">
        <f>IFERROR(ROUND(G12*0.25+G13*0.25+G14*0.25+G15*0.25,1),"")</f>
        <v/>
      </c>
    </row>
    <row r="18" spans="1:7" ht="21.75" customHeight="1">
      <c r="A18" s="181" t="s">
        <v>322</v>
      </c>
      <c r="B18" s="181"/>
      <c r="C18" s="181"/>
      <c r="D18" s="181"/>
      <c r="E18" s="181"/>
      <c r="F18" s="181"/>
      <c r="G18" s="181"/>
    </row>
    <row r="19" spans="1:7" ht="19.5" customHeight="1">
      <c r="A19" s="26" t="s">
        <v>323</v>
      </c>
      <c r="B19" s="27" t="s">
        <v>324</v>
      </c>
      <c r="C19" s="28" t="s">
        <v>301</v>
      </c>
      <c r="D19" s="29" t="str">
        <f>IFERROR(ROUND(AVERAGEIF('📝 DATA ENTRY'!AM6:AM205,"&gt;0"),1),"")</f>
        <v/>
      </c>
      <c r="E19" s="30" t="str">
        <f>IFERROR(ROUND(AVERAGEIF('📝 DATA ENTRY'!AN6:AN205,"&gt;0"),1),"")</f>
        <v/>
      </c>
      <c r="F19" s="31" t="str">
        <f>IFERROR(ROUND(AVERAGEIF('📝 DATA ENTRY'!AO6:AO205,"&gt;0"),1),"")</f>
        <v/>
      </c>
      <c r="G19" s="32" t="str">
        <f>IFERROR(ROUND(AVERAGEIF('📝 DATA ENTRY'!AP6:AP205,"&gt;0"),1),"")</f>
        <v/>
      </c>
    </row>
    <row r="20" spans="1:7" ht="19.5" customHeight="1">
      <c r="A20" s="33" t="s">
        <v>325</v>
      </c>
      <c r="B20" s="34" t="s">
        <v>326</v>
      </c>
      <c r="C20" s="28" t="s">
        <v>314</v>
      </c>
      <c r="D20" s="47" t="str">
        <f>IFERROR(ROUND(AVERAGEIF('📝 DATA ENTRY'!AQ6:AQ205,"&gt;0"),1),"")</f>
        <v/>
      </c>
      <c r="E20" s="48" t="str">
        <f>IFERROR(ROUND(AVERAGEIF('📝 DATA ENTRY'!AR6:AR205,"&gt;0"),1),"")</f>
        <v/>
      </c>
      <c r="F20" s="49" t="str">
        <f>IFERROR(ROUND(AVERAGEIF('📝 DATA ENTRY'!AS6:AS205,"&gt;0"),1),"")</f>
        <v/>
      </c>
      <c r="G20" s="50" t="str">
        <f>IFERROR(ROUND(AVERAGEIF('📝 DATA ENTRY'!AT6:AT205,"&gt;0"),1),"")</f>
        <v/>
      </c>
    </row>
    <row r="21" spans="1:7" ht="19.5" customHeight="1">
      <c r="A21" s="26" t="s">
        <v>327</v>
      </c>
      <c r="B21" s="27" t="s">
        <v>328</v>
      </c>
      <c r="C21" s="28" t="s">
        <v>314</v>
      </c>
      <c r="D21" s="29" t="str">
        <f>IFERROR(ROUND(AVERAGEIF('📝 DATA ENTRY'!AU6:AU205,"&gt;0"),1),"")</f>
        <v/>
      </c>
      <c r="E21" s="30" t="str">
        <f>IFERROR(ROUND(AVERAGEIF('📝 DATA ENTRY'!AV6:AV205,"&gt;0"),1),"")</f>
        <v/>
      </c>
      <c r="F21" s="31" t="str">
        <f>IFERROR(ROUND(AVERAGEIF('📝 DATA ENTRY'!AW6:AW205,"&gt;0"),1),"")</f>
        <v/>
      </c>
      <c r="G21" s="32" t="str">
        <f>IFERROR(ROUND(AVERAGEIF('📝 DATA ENTRY'!AX6:AX205,"&gt;0"),1),"")</f>
        <v/>
      </c>
    </row>
    <row r="22" spans="1:7" ht="19.5" customHeight="1">
      <c r="A22" s="33" t="s">
        <v>329</v>
      </c>
      <c r="B22" s="34" t="s">
        <v>330</v>
      </c>
      <c r="C22" s="28" t="s">
        <v>306</v>
      </c>
      <c r="D22" s="47" t="str">
        <f>IFERROR(ROUND(AVERAGEIF('📝 DATA ENTRY'!AY6:AY205,"&gt;0"),1),"")</f>
        <v/>
      </c>
      <c r="E22" s="48" t="str">
        <f>IFERROR(ROUND(AVERAGEIF('📝 DATA ENTRY'!AZ6:AZ205,"&gt;0"),1),"")</f>
        <v/>
      </c>
      <c r="F22" s="49" t="str">
        <f>IFERROR(ROUND(AVERAGEIF('📝 DATA ENTRY'!BA6:BA205,"&gt;0"),1),"")</f>
        <v/>
      </c>
      <c r="G22" s="50" t="str">
        <f>IFERROR(ROUND(AVERAGEIF('📝 DATA ENTRY'!BB6:BB205,"&gt;0"),1),"")</f>
        <v/>
      </c>
    </row>
    <row r="23" spans="1:7" ht="24" customHeight="1">
      <c r="A23" s="182" t="s">
        <v>331</v>
      </c>
      <c r="B23" s="182"/>
      <c r="C23" s="51" t="s">
        <v>310</v>
      </c>
      <c r="D23" s="52" t="str">
        <f>IFERROR(ROUND(D19*0.3+D20*0.25+D21*0.25+D22*0.2,1),"")</f>
        <v/>
      </c>
      <c r="E23" s="52" t="str">
        <f>IFERROR(ROUND(E19*0.3+E20*0.25+E21*0.25+E22*0.2,1),"")</f>
        <v/>
      </c>
      <c r="F23" s="52" t="str">
        <f>IFERROR(ROUND(F19*0.3+F20*0.25+F21*0.25+F22*0.2,1),"")</f>
        <v/>
      </c>
      <c r="G23" s="52" t="str">
        <f>IFERROR(ROUND(G19*0.3+G20*0.25+G21*0.25+G22*0.2,1),"")</f>
        <v/>
      </c>
    </row>
    <row r="25" spans="1:7" ht="21.75" customHeight="1">
      <c r="A25" s="183" t="s">
        <v>332</v>
      </c>
      <c r="B25" s="183"/>
      <c r="C25" s="183"/>
      <c r="D25" s="183"/>
      <c r="E25" s="183"/>
      <c r="F25" s="183"/>
      <c r="G25" s="183"/>
    </row>
    <row r="26" spans="1:7" ht="19.5" customHeight="1">
      <c r="A26" s="33" t="s">
        <v>333</v>
      </c>
      <c r="B26" s="34" t="s">
        <v>334</v>
      </c>
      <c r="C26" s="28" t="s">
        <v>314</v>
      </c>
      <c r="D26" s="53" t="str">
        <f>IFERROR(ROUND(AVERAGEIF('📝 DATA ENTRY'!BC6:BC205,"&gt;0"),1),"")</f>
        <v/>
      </c>
      <c r="E26" s="54" t="str">
        <f>IFERROR(ROUND(AVERAGEIF('📝 DATA ENTRY'!BD6:BD205,"&gt;0"),1),"")</f>
        <v/>
      </c>
      <c r="F26" s="55" t="str">
        <f>IFERROR(ROUND(AVERAGEIF('📝 DATA ENTRY'!BE6:BE205,"&gt;0"),1),"")</f>
        <v/>
      </c>
      <c r="G26" s="56" t="str">
        <f>IFERROR(ROUND(AVERAGEIF('📝 DATA ENTRY'!BF6:BF205,"&gt;0"),1),"")</f>
        <v/>
      </c>
    </row>
    <row r="27" spans="1:7" ht="19.5" customHeight="1">
      <c r="A27" s="26" t="s">
        <v>335</v>
      </c>
      <c r="B27" s="27" t="s">
        <v>336</v>
      </c>
      <c r="C27" s="28" t="s">
        <v>314</v>
      </c>
      <c r="D27" s="29" t="str">
        <f>IFERROR(ROUND(AVERAGEIF('📝 DATA ENTRY'!BG6:BG205,"&gt;0"),1),"")</f>
        <v/>
      </c>
      <c r="E27" s="30" t="str">
        <f>IFERROR(ROUND(AVERAGEIF('📝 DATA ENTRY'!BH6:BH205,"&gt;0"),1),"")</f>
        <v/>
      </c>
      <c r="F27" s="31" t="str">
        <f>IFERROR(ROUND(AVERAGEIF('📝 DATA ENTRY'!BI6:BI205,"&gt;0"),1),"")</f>
        <v/>
      </c>
      <c r="G27" s="32" t="str">
        <f>IFERROR(ROUND(AVERAGEIF('📝 DATA ENTRY'!BJ6:BJ205,"&gt;0"),1),"")</f>
        <v/>
      </c>
    </row>
    <row r="28" spans="1:7" ht="19.5" customHeight="1">
      <c r="A28" s="33" t="s">
        <v>337</v>
      </c>
      <c r="B28" s="34" t="s">
        <v>338</v>
      </c>
      <c r="C28" s="28" t="s">
        <v>314</v>
      </c>
      <c r="D28" s="53" t="str">
        <f>IFERROR(ROUND(AVERAGEIF('📝 DATA ENTRY'!BK6:BK205,"&gt;0"),1),"")</f>
        <v/>
      </c>
      <c r="E28" s="54" t="str">
        <f>IFERROR(ROUND(AVERAGEIF('📝 DATA ENTRY'!BL6:BL205,"&gt;0"),1),"")</f>
        <v/>
      </c>
      <c r="F28" s="55" t="str">
        <f>IFERROR(ROUND(AVERAGEIF('📝 DATA ENTRY'!BM6:BM205,"&gt;0"),1),"")</f>
        <v/>
      </c>
      <c r="G28" s="56" t="str">
        <f>IFERROR(ROUND(AVERAGEIF('📝 DATA ENTRY'!BN6:BN205,"&gt;0"),1),"")</f>
        <v/>
      </c>
    </row>
    <row r="29" spans="1:7" ht="19.5" customHeight="1">
      <c r="A29" s="26" t="s">
        <v>339</v>
      </c>
      <c r="B29" s="27" t="s">
        <v>340</v>
      </c>
      <c r="C29" s="28" t="s">
        <v>314</v>
      </c>
      <c r="D29" s="29" t="str">
        <f>IFERROR(ROUND(AVERAGEIF('📝 DATA ENTRY'!BO6:BO205,"&gt;0"),1),"")</f>
        <v/>
      </c>
      <c r="E29" s="30" t="str">
        <f>IFERROR(ROUND(AVERAGEIF('📝 DATA ENTRY'!BP6:BP205,"&gt;0"),1),"")</f>
        <v/>
      </c>
      <c r="F29" s="31" t="str">
        <f>IFERROR(ROUND(AVERAGEIF('📝 DATA ENTRY'!BQ6:BQ205,"&gt;0"),1),"")</f>
        <v/>
      </c>
      <c r="G29" s="32" t="str">
        <f>IFERROR(ROUND(AVERAGEIF('📝 DATA ENTRY'!BR6:BR205,"&gt;0"),1),"")</f>
        <v/>
      </c>
    </row>
    <row r="30" spans="1:7" ht="24" customHeight="1">
      <c r="A30" s="187" t="s">
        <v>341</v>
      </c>
      <c r="B30" s="187"/>
      <c r="C30" s="57" t="s">
        <v>310</v>
      </c>
      <c r="D30" s="58" t="str">
        <f>IFERROR(ROUND(D26*0.25+D27*0.25+D28*0.25+D29*0.25,1),"")</f>
        <v/>
      </c>
      <c r="E30" s="58" t="str">
        <f>IFERROR(ROUND(E26*0.25+E27*0.25+E28*0.25+E29*0.25,1),"")</f>
        <v/>
      </c>
      <c r="F30" s="58" t="str">
        <f>IFERROR(ROUND(F26*0.25+F27*0.25+F28*0.25+F29*0.25,1),"")</f>
        <v/>
      </c>
      <c r="G30" s="58" t="str">
        <f>IFERROR(ROUND(G26*0.25+G27*0.25+G28*0.25+G29*0.25,1),"")</f>
        <v/>
      </c>
    </row>
    <row r="32" spans="1:7" ht="31.5" customHeight="1">
      <c r="A32" s="188" t="s">
        <v>342</v>
      </c>
      <c r="B32" s="188"/>
      <c r="C32" s="188"/>
      <c r="D32" s="59" t="str">
        <f>IFERROR(ROUND((D9*0.25+D16*0.25+D23*0.25+D30*0.25),1),"")</f>
        <v/>
      </c>
      <c r="E32" s="60" t="str">
        <f>IFERROR(ROUND((E9*0.25+E16*0.25+E23*0.25+E30*0.25),1),"")</f>
        <v/>
      </c>
      <c r="F32" s="61" t="str">
        <f>IFERROR(ROUND((F9*0.25+F16*0.25+F23*0.25+F30*0.25),1),"")</f>
        <v/>
      </c>
      <c r="G32" s="62" t="str">
        <f>IFERROR(ROUND((G9*0.25+G16*0.25+G23*0.25+G30*0.25),1),"")</f>
        <v/>
      </c>
    </row>
    <row r="34" spans="1:7" ht="21.75" customHeight="1">
      <c r="A34" s="189" t="s">
        <v>343</v>
      </c>
      <c r="B34" s="189"/>
      <c r="C34" s="189"/>
      <c r="D34" s="189"/>
      <c r="E34" s="189"/>
      <c r="F34" s="189"/>
      <c r="G34" s="189"/>
    </row>
    <row r="35" spans="1:7" ht="19.5" customHeight="1">
      <c r="A35" s="63" t="s">
        <v>344</v>
      </c>
      <c r="B35" s="190" t="s">
        <v>345</v>
      </c>
      <c r="C35" s="190"/>
      <c r="D35" s="190"/>
      <c r="E35" s="190"/>
      <c r="F35" s="190"/>
      <c r="G35" s="190"/>
    </row>
    <row r="36" spans="1:7" ht="19.5" customHeight="1">
      <c r="A36" s="64" t="s">
        <v>346</v>
      </c>
      <c r="B36" s="191" t="s">
        <v>347</v>
      </c>
      <c r="C36" s="191"/>
      <c r="D36" s="191"/>
      <c r="E36" s="191"/>
      <c r="F36" s="191"/>
      <c r="G36" s="191"/>
    </row>
    <row r="37" spans="1:7" ht="19.5" customHeight="1">
      <c r="A37" s="65" t="s">
        <v>348</v>
      </c>
      <c r="B37" s="184" t="s">
        <v>349</v>
      </c>
      <c r="C37" s="184"/>
      <c r="D37" s="184"/>
      <c r="E37" s="184"/>
      <c r="F37" s="184"/>
      <c r="G37" s="184"/>
    </row>
    <row r="38" spans="1:7" ht="19.5" customHeight="1">
      <c r="A38" s="66" t="s">
        <v>350</v>
      </c>
      <c r="B38" s="185" t="s">
        <v>351</v>
      </c>
      <c r="C38" s="185"/>
      <c r="D38" s="185"/>
      <c r="E38" s="185"/>
      <c r="F38" s="185"/>
      <c r="G38" s="185"/>
    </row>
    <row r="39" spans="1:7" ht="19.5" customHeight="1">
      <c r="A39" s="67" t="s">
        <v>352</v>
      </c>
      <c r="B39" s="186" t="s">
        <v>353</v>
      </c>
      <c r="C39" s="186"/>
      <c r="D39" s="186"/>
      <c r="E39" s="186"/>
      <c r="F39" s="186"/>
      <c r="G39" s="186"/>
    </row>
  </sheetData>
  <mergeCells count="18">
    <mergeCell ref="B37:G37"/>
    <mergeCell ref="B38:G38"/>
    <mergeCell ref="B39:G39"/>
    <mergeCell ref="A30:B30"/>
    <mergeCell ref="A32:C32"/>
    <mergeCell ref="A34:G34"/>
    <mergeCell ref="B35:G35"/>
    <mergeCell ref="B36:G36"/>
    <mergeCell ref="A11:G11"/>
    <mergeCell ref="A16:B16"/>
    <mergeCell ref="A18:G18"/>
    <mergeCell ref="A23:B23"/>
    <mergeCell ref="A25:G25"/>
    <mergeCell ref="A1:L1"/>
    <mergeCell ref="A2:L2"/>
    <mergeCell ref="A3:B3"/>
    <mergeCell ref="A4:G4"/>
    <mergeCell ref="A9:B9"/>
  </mergeCells>
  <conditionalFormatting sqref="A35:A39">
    <cfRule type="colorScale" priority="1">
      <colorScale>
        <cfvo type="min"/>
        <cfvo type="max"/>
        <color rgb="FFFF7128"/>
        <color rgb="FFFFEF9C"/>
      </colorScale>
    </cfRule>
    <cfRule type="colorScale" priority="2">
      <colorScale>
        <cfvo type="min"/>
        <cfvo type="max"/>
        <color rgb="FFFCFCFF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4"/>
  <sheetViews>
    <sheetView showGridLines="0" zoomScale="64" zoomScaleNormal="100" workbookViewId="0">
      <pane ySplit="3" topLeftCell="A37" activePane="bottomLeft" state="frozen"/>
      <selection pane="bottomLeft" activeCell="F44" sqref="F44"/>
    </sheetView>
  </sheetViews>
  <sheetFormatPr defaultColWidth="8.6328125" defaultRowHeight="14.5"/>
  <cols>
    <col min="1" max="1" width="22" customWidth="1"/>
    <col min="2" max="2" width="8" customWidth="1"/>
    <col min="3" max="3" width="34.90625" bestFit="1" customWidth="1"/>
    <col min="4" max="7" width="16" customWidth="1"/>
    <col min="8" max="8" width="24" customWidth="1"/>
  </cols>
  <sheetData>
    <row r="1" spans="1:11" ht="30" customHeight="1">
      <c r="A1" s="174" t="s">
        <v>354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</row>
    <row r="2" spans="1:11" ht="15" customHeight="1">
      <c r="A2" s="147" t="s">
        <v>355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</row>
    <row r="3" spans="1:11" ht="21.75" customHeight="1">
      <c r="A3" s="176" t="s">
        <v>356</v>
      </c>
      <c r="B3" s="176"/>
      <c r="C3" s="21" t="s">
        <v>357</v>
      </c>
      <c r="D3" s="22" t="s">
        <v>294</v>
      </c>
      <c r="E3" s="23" t="s">
        <v>295</v>
      </c>
      <c r="F3" s="24" t="s">
        <v>296</v>
      </c>
      <c r="G3" s="25" t="s">
        <v>297</v>
      </c>
      <c r="H3" s="21" t="s">
        <v>358</v>
      </c>
    </row>
    <row r="4" spans="1:11" ht="21.75" customHeight="1">
      <c r="A4" s="177" t="s">
        <v>359</v>
      </c>
      <c r="B4" s="177"/>
      <c r="C4" s="177"/>
      <c r="D4" s="177"/>
      <c r="E4" s="177"/>
      <c r="F4" s="177"/>
      <c r="G4" s="177"/>
      <c r="H4" s="177"/>
    </row>
    <row r="5" spans="1:11" ht="19.5" customHeight="1">
      <c r="A5" s="123" t="s">
        <v>360</v>
      </c>
      <c r="B5" s="68" t="s">
        <v>361</v>
      </c>
      <c r="C5" s="26" t="s">
        <v>71</v>
      </c>
      <c r="D5" s="29">
        <f>IFERROR(ROUND(AVERAGEIF('📝 DATA ENTRY'!BS6:BS205,"&gt;0"),1),"")</f>
        <v>8.5</v>
      </c>
      <c r="E5" s="30" t="str">
        <f>IFERROR(ROUND(AVERAGEIF('📝 DATA ENTRY'!BT6:BT205,"&gt;0"),1),"")</f>
        <v/>
      </c>
      <c r="F5" s="31" t="str">
        <f>IFERROR(ROUND(AVERAGEIF('📝 DATA ENTRY'!BU6:BU205,"&gt;0"),1),"")</f>
        <v/>
      </c>
      <c r="G5" s="32" t="str">
        <f>IFERROR(ROUND(AVERAGEIF('📝 DATA ENTRY'!BV6:BV205,"&gt;0"),1),"")</f>
        <v/>
      </c>
      <c r="H5" s="125" t="s">
        <v>362</v>
      </c>
    </row>
    <row r="6" spans="1:11" ht="19.5" customHeight="1">
      <c r="A6" s="126" t="s">
        <v>360</v>
      </c>
      <c r="B6" s="68" t="s">
        <v>363</v>
      </c>
      <c r="C6" s="69" t="s">
        <v>72</v>
      </c>
      <c r="D6" s="35" t="str">
        <f>IFERROR(ROUND(AVERAGEIF('📝 DATA ENTRY'!BW6:BW205,"&gt;0"),1),"")</f>
        <v/>
      </c>
      <c r="E6" s="36" t="str">
        <f>IFERROR(ROUND(AVERAGEIF('📝 DATA ENTRY'!BX6:BX205,"&gt;0"),1),"")</f>
        <v/>
      </c>
      <c r="F6" s="37" t="str">
        <f>IFERROR(ROUND(AVERAGEIF('📝 DATA ENTRY'!BY6:BY205,"&gt;0"),1),"")</f>
        <v/>
      </c>
      <c r="G6" s="38" t="str">
        <f>IFERROR(ROUND(AVERAGEIF('📝 DATA ENTRY'!BZ6:BZ205,"&gt;0"),1),"")</f>
        <v/>
      </c>
      <c r="H6" s="127" t="s">
        <v>364</v>
      </c>
    </row>
    <row r="7" spans="1:11" ht="19.5" customHeight="1">
      <c r="A7" s="123" t="s">
        <v>360</v>
      </c>
      <c r="B7" s="68" t="s">
        <v>365</v>
      </c>
      <c r="C7" s="26" t="s">
        <v>73</v>
      </c>
      <c r="D7" s="29" t="str">
        <f>IFERROR(ROUND(AVERAGEIF('📝 DATA ENTRY'!CA6:CA205,"&gt;0"),1),"")</f>
        <v/>
      </c>
      <c r="E7" s="30" t="str">
        <f>IFERROR(ROUND(AVERAGEIF('📝 DATA ENTRY'!CB6:CB205,"&gt;0"),1),"")</f>
        <v/>
      </c>
      <c r="F7" s="31" t="str">
        <f>IFERROR(ROUND(AVERAGEIF('📝 DATA ENTRY'!CC6:CC205,"&gt;0"),1),"")</f>
        <v/>
      </c>
      <c r="G7" s="32" t="str">
        <f>IFERROR(ROUND(AVERAGEIF('📝 DATA ENTRY'!CD6:CD205,"&gt;0"),1),"")</f>
        <v/>
      </c>
      <c r="H7" s="125" t="s">
        <v>366</v>
      </c>
    </row>
    <row r="8" spans="1:11" ht="19.5" customHeight="1">
      <c r="A8" s="126" t="s">
        <v>360</v>
      </c>
      <c r="B8" s="68" t="s">
        <v>367</v>
      </c>
      <c r="C8" s="69" t="s">
        <v>74</v>
      </c>
      <c r="D8" s="35" t="str">
        <f>IFERROR(ROUND(AVERAGEIF('📝 DATA ENTRY'!CE6:CE205,"&gt;0"),1),"")</f>
        <v/>
      </c>
      <c r="E8" s="36" t="str">
        <f>IFERROR(ROUND(AVERAGEIF('📝 DATA ENTRY'!CF6:CF205,"&gt;0"),1),"")</f>
        <v/>
      </c>
      <c r="F8" s="37" t="str">
        <f>IFERROR(ROUND(AVERAGEIF('📝 DATA ENTRY'!CG6:CG205,"&gt;0"),1),"")</f>
        <v/>
      </c>
      <c r="G8" s="38" t="str">
        <f>IFERROR(ROUND(AVERAGEIF('📝 DATA ENTRY'!CH6:CH205,"&gt;0"),1),"")</f>
        <v/>
      </c>
      <c r="H8" s="127" t="s">
        <v>368</v>
      </c>
    </row>
    <row r="9" spans="1:11" ht="19.5" customHeight="1">
      <c r="A9" s="123" t="s">
        <v>360</v>
      </c>
      <c r="B9" s="68" t="s">
        <v>369</v>
      </c>
      <c r="C9" s="26" t="s">
        <v>75</v>
      </c>
      <c r="D9" s="29" t="str">
        <f>IFERROR(ROUND(AVERAGEIF('📝 DATA ENTRY'!CI6:CI205,"&gt;0"),1),"")</f>
        <v/>
      </c>
      <c r="E9" s="30" t="str">
        <f>IFERROR(ROUND(AVERAGEIF('📝 DATA ENTRY'!CJ6:CJ205,"&gt;0"),1),"")</f>
        <v/>
      </c>
      <c r="F9" s="31" t="str">
        <f>IFERROR(ROUND(AVERAGEIF('📝 DATA ENTRY'!CK6:CK205,"&gt;0"),1),"")</f>
        <v/>
      </c>
      <c r="G9" s="32" t="str">
        <f>IFERROR(ROUND(AVERAGEIF('📝 DATA ENTRY'!CL6:CL205,"&gt;0"),1),"")</f>
        <v/>
      </c>
      <c r="H9" s="125" t="s">
        <v>370</v>
      </c>
    </row>
    <row r="10" spans="1:11" ht="25.5" customHeight="1">
      <c r="A10" s="177" t="s">
        <v>371</v>
      </c>
      <c r="B10" s="177"/>
      <c r="C10" s="177"/>
      <c r="D10" s="40">
        <f>IFERROR(ROUND(AVERAGE(D5,D6,D7,D8,D9),1),"")</f>
        <v>8.5</v>
      </c>
      <c r="E10" s="40" t="str">
        <f>IFERROR(ROUND(AVERAGE(E5,E6,E7,E8,E9),1),"")</f>
        <v/>
      </c>
      <c r="F10" s="40" t="str">
        <f>IFERROR(ROUND(AVERAGE(F5,F6,F7,F8,F9),1),"")</f>
        <v/>
      </c>
      <c r="G10" s="40" t="str">
        <f>IFERROR(ROUND(AVERAGE(G5,G6,G7,G8,G9),1),"")</f>
        <v/>
      </c>
      <c r="H10" s="128"/>
    </row>
    <row r="12" spans="1:11" ht="21.75" customHeight="1">
      <c r="A12" s="183" t="s">
        <v>372</v>
      </c>
      <c r="B12" s="183"/>
      <c r="C12" s="183"/>
      <c r="D12" s="183"/>
      <c r="E12" s="183"/>
      <c r="F12" s="183"/>
      <c r="G12" s="183"/>
      <c r="H12" s="183"/>
    </row>
    <row r="13" spans="1:11" ht="19.5" customHeight="1">
      <c r="A13" s="70" t="s">
        <v>373</v>
      </c>
      <c r="B13" s="68" t="s">
        <v>374</v>
      </c>
      <c r="C13" s="26" t="s">
        <v>76</v>
      </c>
      <c r="D13" s="29" t="str">
        <f>IFERROR(ROUND(AVERAGEIF('📝 DATA ENTRY'!CM6:CM205,"&gt;0"),1),"")</f>
        <v/>
      </c>
      <c r="E13" s="30" t="str">
        <f>IFERROR(ROUND(AVERAGEIF('📝 DATA ENTRY'!CN6:CN205,"&gt;0"),1),"")</f>
        <v/>
      </c>
      <c r="F13" s="31" t="str">
        <f>IFERROR(ROUND(AVERAGEIF('📝 DATA ENTRY'!CO6:CO205,"&gt;0"),1),"")</f>
        <v/>
      </c>
      <c r="G13" s="32" t="str">
        <f>IFERROR(ROUND(AVERAGEIF('📝 DATA ENTRY'!CP6:CP205,"&gt;0"),1),"")</f>
        <v/>
      </c>
      <c r="H13" s="125" t="s">
        <v>375</v>
      </c>
    </row>
    <row r="14" spans="1:11" ht="19.5" customHeight="1">
      <c r="A14" s="71" t="s">
        <v>373</v>
      </c>
      <c r="B14" s="68" t="s">
        <v>376</v>
      </c>
      <c r="C14" s="72" t="s">
        <v>77</v>
      </c>
      <c r="D14" s="53" t="str">
        <f>IFERROR(ROUND(AVERAGEIF('📝 DATA ENTRY'!CQ6:CQ205,"&gt;0"),1),"")</f>
        <v/>
      </c>
      <c r="E14" s="54" t="str">
        <f>IFERROR(ROUND(AVERAGEIF('📝 DATA ENTRY'!CR6:CR205,"&gt;0"),1),"")</f>
        <v/>
      </c>
      <c r="F14" s="55" t="str">
        <f>IFERROR(ROUND(AVERAGEIF('📝 DATA ENTRY'!CS6:CS205,"&gt;0"),1),"")</f>
        <v/>
      </c>
      <c r="G14" s="56" t="str">
        <f>IFERROR(ROUND(AVERAGEIF('📝 DATA ENTRY'!CT6:CT205,"&gt;0"),1),"")</f>
        <v/>
      </c>
      <c r="H14" s="129" t="s">
        <v>377</v>
      </c>
    </row>
    <row r="15" spans="1:11" ht="19.5" customHeight="1">
      <c r="A15" s="70" t="s">
        <v>373</v>
      </c>
      <c r="B15" s="68" t="s">
        <v>378</v>
      </c>
      <c r="C15" s="26" t="s">
        <v>78</v>
      </c>
      <c r="D15" s="29" t="str">
        <f>IFERROR(ROUND(AVERAGEIF('📝 DATA ENTRY'!CU6:CU205,"&gt;0"),1),"")</f>
        <v/>
      </c>
      <c r="E15" s="30" t="str">
        <f>IFERROR(ROUND(AVERAGEIF('📝 DATA ENTRY'!CV6:CV205,"&gt;0"),1),"")</f>
        <v/>
      </c>
      <c r="F15" s="31" t="str">
        <f>IFERROR(ROUND(AVERAGEIF('📝 DATA ENTRY'!CW6:CW205,"&gt;0"),1),"")</f>
        <v/>
      </c>
      <c r="G15" s="32" t="str">
        <f>IFERROR(ROUND(AVERAGEIF('📝 DATA ENTRY'!CX6:CX205,"&gt;0"),1),"")</f>
        <v/>
      </c>
      <c r="H15" s="125" t="s">
        <v>379</v>
      </c>
    </row>
    <row r="16" spans="1:11" ht="19.5" customHeight="1">
      <c r="A16" s="71" t="s">
        <v>373</v>
      </c>
      <c r="B16" s="68" t="s">
        <v>380</v>
      </c>
      <c r="C16" s="72" t="s">
        <v>79</v>
      </c>
      <c r="D16" s="53" t="str">
        <f>IFERROR(ROUND(AVERAGEIF('📝 DATA ENTRY'!CY6:CY205,"&gt;0"),1),"")</f>
        <v/>
      </c>
      <c r="E16" s="54" t="str">
        <f>IFERROR(ROUND(AVERAGEIF('📝 DATA ENTRY'!CZ6:CZ205,"&gt;0"),1),"")</f>
        <v/>
      </c>
      <c r="F16" s="55" t="str">
        <f>IFERROR(ROUND(AVERAGEIF('📝 DATA ENTRY'!DA6:DA205,"&gt;0"),1),"")</f>
        <v/>
      </c>
      <c r="G16" s="56" t="str">
        <f>IFERROR(ROUND(AVERAGEIF('📝 DATA ENTRY'!DB6:DB205,"&gt;0"),1),"")</f>
        <v/>
      </c>
      <c r="H16" s="129" t="s">
        <v>381</v>
      </c>
    </row>
    <row r="17" spans="1:8" ht="19.5" customHeight="1">
      <c r="A17" s="70" t="s">
        <v>373</v>
      </c>
      <c r="B17" s="68" t="s">
        <v>382</v>
      </c>
      <c r="C17" s="26" t="s">
        <v>80</v>
      </c>
      <c r="D17" s="29" t="str">
        <f>IFERROR(ROUND(AVERAGEIF('📝 DATA ENTRY'!DC6:DC205,"&gt;0"),1),"")</f>
        <v/>
      </c>
      <c r="E17" s="30" t="str">
        <f>IFERROR(ROUND(AVERAGEIF('📝 DATA ENTRY'!DD6:DD205,"&gt;0"),1),"")</f>
        <v/>
      </c>
      <c r="F17" s="31" t="str">
        <f>IFERROR(ROUND(AVERAGEIF('📝 DATA ENTRY'!DE6:DE205,"&gt;0"),1),"")</f>
        <v/>
      </c>
      <c r="G17" s="32" t="str">
        <f>IFERROR(ROUND(AVERAGEIF('📝 DATA ENTRY'!DF6:DF205,"&gt;0"),1),"")</f>
        <v/>
      </c>
      <c r="H17" s="125" t="s">
        <v>366</v>
      </c>
    </row>
    <row r="18" spans="1:8" ht="25.5" customHeight="1">
      <c r="A18" s="183" t="s">
        <v>383</v>
      </c>
      <c r="B18" s="183"/>
      <c r="C18" s="183"/>
      <c r="D18" s="58" t="str">
        <f>IFERROR(ROUND(AVERAGE(D13,D14,D15,D16,D17),1),"")</f>
        <v/>
      </c>
      <c r="E18" s="58" t="str">
        <f>IFERROR(ROUND(AVERAGE(E13,E14,E15,E16,E17),1),"")</f>
        <v/>
      </c>
      <c r="F18" s="58" t="str">
        <f>IFERROR(ROUND(AVERAGE(F13,F14,F15,F16,F17),1),"")</f>
        <v/>
      </c>
      <c r="G18" s="58" t="str">
        <f>IFERROR(ROUND(AVERAGE(G13,G14,G15,G16,G17),1),"")</f>
        <v/>
      </c>
      <c r="H18" s="130"/>
    </row>
    <row r="20" spans="1:8" ht="21.75" customHeight="1">
      <c r="A20" s="181" t="s">
        <v>384</v>
      </c>
      <c r="B20" s="181"/>
      <c r="C20" s="181"/>
      <c r="D20" s="181"/>
      <c r="E20" s="181"/>
      <c r="F20" s="181"/>
      <c r="G20" s="181"/>
      <c r="H20" s="181"/>
    </row>
    <row r="21" spans="1:8" ht="19.5" customHeight="1">
      <c r="A21" s="73" t="s">
        <v>385</v>
      </c>
      <c r="B21" s="68" t="s">
        <v>386</v>
      </c>
      <c r="C21" s="26" t="s">
        <v>81</v>
      </c>
      <c r="D21" s="29" t="str">
        <f>IFERROR(ROUND(AVERAGEIF('📝 DATA ENTRY'!DG6:DG205,"&gt;0"),1),"")</f>
        <v/>
      </c>
      <c r="E21" s="30" t="str">
        <f>IFERROR(ROUND(AVERAGEIF('📝 DATA ENTRY'!DH6:DH205,"&gt;0"),1),"")</f>
        <v/>
      </c>
      <c r="F21" s="31" t="str">
        <f>IFERROR(ROUND(AVERAGEIF('📝 DATA ENTRY'!DI6:DI205,"&gt;0"),1),"")</f>
        <v/>
      </c>
      <c r="G21" s="32" t="str">
        <f>IFERROR(ROUND(AVERAGEIF('📝 DATA ENTRY'!DJ6:DJ205,"&gt;0"),1),"")</f>
        <v/>
      </c>
      <c r="H21" s="125" t="s">
        <v>387</v>
      </c>
    </row>
    <row r="22" spans="1:8" ht="19.5" customHeight="1">
      <c r="A22" s="74" t="s">
        <v>385</v>
      </c>
      <c r="B22" s="68" t="s">
        <v>388</v>
      </c>
      <c r="C22" s="75" t="s">
        <v>82</v>
      </c>
      <c r="D22" s="47" t="str">
        <f>IFERROR(ROUND(AVERAGEIF('📝 DATA ENTRY'!DK6:DK205,"&gt;0"),1),"")</f>
        <v/>
      </c>
      <c r="E22" s="48" t="str">
        <f>IFERROR(ROUND(AVERAGEIF('📝 DATA ENTRY'!DL6:DL205,"&gt;0"),1),"")</f>
        <v/>
      </c>
      <c r="F22" s="49" t="str">
        <f>IFERROR(ROUND(AVERAGEIF('📝 DATA ENTRY'!DM6:DM205,"&gt;0"),1),"")</f>
        <v/>
      </c>
      <c r="G22" s="50" t="str">
        <f>IFERROR(ROUND(AVERAGEIF('📝 DATA ENTRY'!DN6:DN205,"&gt;0"),1),"")</f>
        <v/>
      </c>
      <c r="H22" s="131" t="s">
        <v>389</v>
      </c>
    </row>
    <row r="23" spans="1:8" ht="19.5" customHeight="1">
      <c r="A23" s="73" t="s">
        <v>385</v>
      </c>
      <c r="B23" s="68" t="s">
        <v>390</v>
      </c>
      <c r="C23" s="26" t="s">
        <v>83</v>
      </c>
      <c r="D23" s="29" t="str">
        <f>IFERROR(ROUND(AVERAGEIF('📝 DATA ENTRY'!DO6:DO205,"&gt;0"),1),"")</f>
        <v/>
      </c>
      <c r="E23" s="30" t="str">
        <f>IFERROR(ROUND(AVERAGEIF('📝 DATA ENTRY'!DP6:DP205,"&gt;0"),1),"")</f>
        <v/>
      </c>
      <c r="F23" s="31" t="str">
        <f>IFERROR(ROUND(AVERAGEIF('📝 DATA ENTRY'!DQ6:DQ205,"&gt;0"),1),"")</f>
        <v/>
      </c>
      <c r="G23" s="32" t="str">
        <f>IFERROR(ROUND(AVERAGEIF('📝 DATA ENTRY'!DR6:DR205,"&gt;0"),1),"")</f>
        <v/>
      </c>
      <c r="H23" s="125" t="s">
        <v>391</v>
      </c>
    </row>
    <row r="24" spans="1:8" ht="19.5" customHeight="1">
      <c r="A24" s="74" t="s">
        <v>385</v>
      </c>
      <c r="B24" s="68" t="s">
        <v>392</v>
      </c>
      <c r="C24" s="75" t="s">
        <v>84</v>
      </c>
      <c r="D24" s="47" t="str">
        <f>IFERROR(ROUND(AVERAGEIF('📝 DATA ENTRY'!DS6:DS205,"&gt;0"),1),"")</f>
        <v/>
      </c>
      <c r="E24" s="48" t="str">
        <f>IFERROR(ROUND(AVERAGEIF('📝 DATA ENTRY'!DT6:DT205,"&gt;0"),1),"")</f>
        <v/>
      </c>
      <c r="F24" s="49" t="str">
        <f>IFERROR(ROUND(AVERAGEIF('📝 DATA ENTRY'!DU6:DU205,"&gt;0"),1),"")</f>
        <v/>
      </c>
      <c r="G24" s="50" t="str">
        <f>IFERROR(ROUND(AVERAGEIF('📝 DATA ENTRY'!DV6:DV205,"&gt;0"),1),"")</f>
        <v/>
      </c>
      <c r="H24" s="131" t="s">
        <v>393</v>
      </c>
    </row>
    <row r="25" spans="1:8" ht="19.5" customHeight="1">
      <c r="A25" s="73" t="s">
        <v>385</v>
      </c>
      <c r="B25" s="68" t="s">
        <v>394</v>
      </c>
      <c r="C25" s="26" t="s">
        <v>85</v>
      </c>
      <c r="D25" s="29" t="str">
        <f>IFERROR(ROUND(AVERAGEIF('📝 DATA ENTRY'!DW6:DW205,"&gt;0"),1),"")</f>
        <v/>
      </c>
      <c r="E25" s="30" t="str">
        <f>IFERROR(ROUND(AVERAGEIF('📝 DATA ENTRY'!DX6:DX205,"&gt;0"),1),"")</f>
        <v/>
      </c>
      <c r="F25" s="31" t="str">
        <f>IFERROR(ROUND(AVERAGEIF('📝 DATA ENTRY'!DY6:DY205,"&gt;0"),1),"")</f>
        <v/>
      </c>
      <c r="G25" s="32" t="str">
        <f>IFERROR(ROUND(AVERAGEIF('📝 DATA ENTRY'!DZ6:DZ205,"&gt;0"),1),"")</f>
        <v/>
      </c>
      <c r="H25" s="125" t="s">
        <v>395</v>
      </c>
    </row>
    <row r="26" spans="1:8" ht="25.5" customHeight="1">
      <c r="A26" s="181" t="s">
        <v>396</v>
      </c>
      <c r="B26" s="181"/>
      <c r="C26" s="181"/>
      <c r="D26" s="52" t="str">
        <f>IFERROR(ROUND(AVERAGE(D21,D22,D23,D24,D25),1),"")</f>
        <v/>
      </c>
      <c r="E26" s="52" t="str">
        <f>IFERROR(ROUND(AVERAGE(E21,E22,E23,E24,E25),1),"")</f>
        <v/>
      </c>
      <c r="F26" s="52" t="str">
        <f>IFERROR(ROUND(AVERAGE(F21,F22,F23,F24,F25),1),"")</f>
        <v/>
      </c>
      <c r="G26" s="52" t="str">
        <f>IFERROR(ROUND(AVERAGE(G21,G22,G23,G24,G25),1),"")</f>
        <v/>
      </c>
      <c r="H26" s="132"/>
    </row>
    <row r="28" spans="1:8" ht="21.75" customHeight="1">
      <c r="A28" s="179" t="s">
        <v>397</v>
      </c>
      <c r="B28" s="179"/>
      <c r="C28" s="179"/>
      <c r="D28" s="179"/>
      <c r="E28" s="179"/>
      <c r="F28" s="179"/>
      <c r="G28" s="179"/>
      <c r="H28" s="179"/>
    </row>
    <row r="29" spans="1:8" ht="19.5" customHeight="1">
      <c r="A29" s="76" t="s">
        <v>398</v>
      </c>
      <c r="B29" s="68" t="s">
        <v>399</v>
      </c>
      <c r="C29" s="26" t="s">
        <v>86</v>
      </c>
      <c r="D29" s="29" t="str">
        <f>IFERROR(ROUND(AVERAGEIF('📝 DATA ENTRY'!EA6:EA205,"&gt;0"),1),"")</f>
        <v/>
      </c>
      <c r="E29" s="30" t="str">
        <f>IFERROR(ROUND(AVERAGEIF('📝 DATA ENTRY'!EB6:EB205,"&gt;0"),1),"")</f>
        <v/>
      </c>
      <c r="F29" s="31" t="str">
        <f>IFERROR(ROUND(AVERAGEIF('📝 DATA ENTRY'!EC6:EC205,"&gt;0"),1),"")</f>
        <v/>
      </c>
      <c r="G29" s="32" t="str">
        <f>IFERROR(ROUND(AVERAGEIF('📝 DATA ENTRY'!ED6:ED205,"&gt;0"),1),"")</f>
        <v/>
      </c>
      <c r="H29" s="125" t="s">
        <v>400</v>
      </c>
    </row>
    <row r="30" spans="1:8" ht="19.5" customHeight="1">
      <c r="A30" s="77" t="s">
        <v>398</v>
      </c>
      <c r="B30" s="68" t="s">
        <v>401</v>
      </c>
      <c r="C30" s="78" t="s">
        <v>87</v>
      </c>
      <c r="D30" s="41" t="str">
        <f>IFERROR(ROUND(AVERAGEIF('📝 DATA ENTRY'!EE6:EE205,"&gt;0"),1),"")</f>
        <v/>
      </c>
      <c r="E30" s="42" t="str">
        <f>IFERROR(ROUND(AVERAGEIF('📝 DATA ENTRY'!EF6:EF205,"&gt;0"),1),"")</f>
        <v/>
      </c>
      <c r="F30" s="43" t="str">
        <f>IFERROR(ROUND(AVERAGEIF('📝 DATA ENTRY'!EG6:EG205,"&gt;0"),1),"")</f>
        <v/>
      </c>
      <c r="G30" s="44" t="str">
        <f>IFERROR(ROUND(AVERAGEIF('📝 DATA ENTRY'!EH6:EH205,"&gt;0"),1),"")</f>
        <v/>
      </c>
      <c r="H30" s="133" t="s">
        <v>402</v>
      </c>
    </row>
    <row r="31" spans="1:8" ht="19.5" customHeight="1">
      <c r="A31" s="76" t="s">
        <v>398</v>
      </c>
      <c r="B31" s="68" t="s">
        <v>403</v>
      </c>
      <c r="C31" s="26" t="s">
        <v>88</v>
      </c>
      <c r="D31" s="29" t="str">
        <f>IFERROR(ROUND(AVERAGEIF('📝 DATA ENTRY'!EI6:EI205,"&gt;0"),1),"")</f>
        <v/>
      </c>
      <c r="E31" s="30" t="str">
        <f>IFERROR(ROUND(AVERAGEIF('📝 DATA ENTRY'!EJ6:EJ205,"&gt;0"),1),"")</f>
        <v/>
      </c>
      <c r="F31" s="31" t="str">
        <f>IFERROR(ROUND(AVERAGEIF('📝 DATA ENTRY'!EK6:EK205,"&gt;0"),1),"")</f>
        <v/>
      </c>
      <c r="G31" s="32" t="str">
        <f>IFERROR(ROUND(AVERAGEIF('📝 DATA ENTRY'!EL6:EL205,"&gt;0"),1),"")</f>
        <v/>
      </c>
      <c r="H31" s="125" t="s">
        <v>404</v>
      </c>
    </row>
    <row r="32" spans="1:8" ht="19.5" customHeight="1">
      <c r="A32" s="77" t="s">
        <v>398</v>
      </c>
      <c r="B32" s="68" t="s">
        <v>405</v>
      </c>
      <c r="C32" s="78" t="s">
        <v>89</v>
      </c>
      <c r="D32" s="41" t="str">
        <f>IFERROR(ROUND(AVERAGEIF('📝 DATA ENTRY'!EM6:EM205,"&gt;0"),1),"")</f>
        <v/>
      </c>
      <c r="E32" s="42" t="str">
        <f>IFERROR(ROUND(AVERAGEIF('📝 DATA ENTRY'!EN6:EN205,"&gt;0"),1),"")</f>
        <v/>
      </c>
      <c r="F32" s="43" t="str">
        <f>IFERROR(ROUND(AVERAGEIF('📝 DATA ENTRY'!EO6:EO205,"&gt;0"),1),"")</f>
        <v/>
      </c>
      <c r="G32" s="44" t="str">
        <f>IFERROR(ROUND(AVERAGEIF('📝 DATA ENTRY'!EP6:EP205,"&gt;0"),1),"")</f>
        <v/>
      </c>
      <c r="H32" s="133" t="s">
        <v>406</v>
      </c>
    </row>
    <row r="33" spans="1:8" ht="19.5" customHeight="1">
      <c r="A33" s="76" t="s">
        <v>398</v>
      </c>
      <c r="B33" s="68" t="s">
        <v>407</v>
      </c>
      <c r="C33" s="26" t="s">
        <v>90</v>
      </c>
      <c r="D33" s="29" t="str">
        <f>IFERROR(ROUND(AVERAGEIF('📝 DATA ENTRY'!EQ6:EQ205,"&gt;0"),1),"")</f>
        <v/>
      </c>
      <c r="E33" s="30" t="str">
        <f>IFERROR(ROUND(AVERAGEIF('📝 DATA ENTRY'!ER6:ER205,"&gt;0"),1),"")</f>
        <v/>
      </c>
      <c r="F33" s="31" t="str">
        <f>IFERROR(ROUND(AVERAGEIF('📝 DATA ENTRY'!ES6:ES205,"&gt;0"),1),"")</f>
        <v/>
      </c>
      <c r="G33" s="32" t="str">
        <f>IFERROR(ROUND(AVERAGEIF('📝 DATA ENTRY'!ET6:ET205,"&gt;0"),1),"")</f>
        <v/>
      </c>
      <c r="H33" s="125" t="s">
        <v>408</v>
      </c>
    </row>
    <row r="34" spans="1:8" ht="25.5" customHeight="1">
      <c r="A34" s="179" t="s">
        <v>409</v>
      </c>
      <c r="B34" s="179"/>
      <c r="C34" s="179"/>
      <c r="D34" s="46" t="str">
        <f>IFERROR(ROUND(AVERAGE(D29,D30,D31,D32,D33),1),"")</f>
        <v/>
      </c>
      <c r="E34" s="46" t="str">
        <f>IFERROR(ROUND(AVERAGE(E29,E30,E31,E32,E33),1),"")</f>
        <v/>
      </c>
      <c r="F34" s="46" t="str">
        <f>IFERROR(ROUND(AVERAGE(F29,F30,F31,F32,F33),1),"")</f>
        <v/>
      </c>
      <c r="G34" s="46" t="str">
        <f>IFERROR(ROUND(AVERAGE(G29,G30,G31,G32,G33),1),"")</f>
        <v/>
      </c>
      <c r="H34" s="134"/>
    </row>
    <row r="36" spans="1:8" ht="21.75" customHeight="1">
      <c r="A36" s="192" t="s">
        <v>410</v>
      </c>
      <c r="B36" s="192"/>
      <c r="C36" s="192"/>
      <c r="D36" s="192"/>
      <c r="E36" s="192"/>
      <c r="F36" s="192"/>
      <c r="G36" s="192"/>
      <c r="H36" s="192"/>
    </row>
    <row r="37" spans="1:8" ht="19.5" customHeight="1">
      <c r="A37" s="79" t="s">
        <v>411</v>
      </c>
      <c r="B37" s="68" t="s">
        <v>412</v>
      </c>
      <c r="C37" s="26" t="s">
        <v>91</v>
      </c>
      <c r="D37" s="29" t="str">
        <f>IFERROR(ROUND(AVERAGEIF('📝 DATA ENTRY'!EU6:EU205,"&gt;0"),1),"")</f>
        <v/>
      </c>
      <c r="E37" s="30" t="str">
        <f>IFERROR(ROUND(AVERAGEIF('📝 DATA ENTRY'!EV6:EV205,"&gt;0"),1),"")</f>
        <v/>
      </c>
      <c r="F37" s="31" t="str">
        <f>IFERROR(ROUND(AVERAGEIF('📝 DATA ENTRY'!EW6:EW205,"&gt;0"),1),"")</f>
        <v/>
      </c>
      <c r="G37" s="32" t="str">
        <f>IFERROR(ROUND(AVERAGEIF('📝 DATA ENTRY'!EX6:EX205,"&gt;0"),1),"")</f>
        <v/>
      </c>
      <c r="H37" s="125" t="s">
        <v>413</v>
      </c>
    </row>
    <row r="38" spans="1:8" ht="19.5" customHeight="1">
      <c r="A38" s="80" t="s">
        <v>411</v>
      </c>
      <c r="B38" s="68" t="s">
        <v>414</v>
      </c>
      <c r="C38" s="81" t="s">
        <v>92</v>
      </c>
      <c r="D38" s="82" t="str">
        <f>IFERROR(ROUND(AVERAGEIF('📝 DATA ENTRY'!EY6:EY205,"&gt;0"),1),"")</f>
        <v/>
      </c>
      <c r="E38" s="83" t="str">
        <f>IFERROR(ROUND(AVERAGEIF('📝 DATA ENTRY'!EZ6:EZ205,"&gt;0"),1),"")</f>
        <v/>
      </c>
      <c r="F38" s="84" t="str">
        <f>IFERROR(ROUND(AVERAGEIF('📝 DATA ENTRY'!FA6:FA205,"&gt;0"),1),"")</f>
        <v/>
      </c>
      <c r="G38" s="85" t="str">
        <f>IFERROR(ROUND(AVERAGEIF('📝 DATA ENTRY'!FB6:FB205,"&gt;0"),1),"")</f>
        <v/>
      </c>
      <c r="H38" s="135" t="s">
        <v>415</v>
      </c>
    </row>
    <row r="39" spans="1:8" ht="19.5" customHeight="1">
      <c r="A39" s="79" t="s">
        <v>411</v>
      </c>
      <c r="B39" s="68" t="s">
        <v>416</v>
      </c>
      <c r="C39" s="26" t="s">
        <v>93</v>
      </c>
      <c r="D39" s="29" t="str">
        <f>IFERROR(ROUND(AVERAGEIF('📝 DATA ENTRY'!FC6:FC205,"&gt;0"),1),"")</f>
        <v/>
      </c>
      <c r="E39" s="30" t="str">
        <f>IFERROR(ROUND(AVERAGEIF('📝 DATA ENTRY'!FD6:FD205,"&gt;0"),1),"")</f>
        <v/>
      </c>
      <c r="F39" s="31" t="str">
        <f>IFERROR(ROUND(AVERAGEIF('📝 DATA ENTRY'!FE6:FE205,"&gt;0"),1),"")</f>
        <v/>
      </c>
      <c r="G39" s="32" t="str">
        <f>IFERROR(ROUND(AVERAGEIF('📝 DATA ENTRY'!FF6:FF205,"&gt;0"),1),"")</f>
        <v/>
      </c>
      <c r="H39" s="125" t="s">
        <v>417</v>
      </c>
    </row>
    <row r="40" spans="1:8" ht="19.5" customHeight="1">
      <c r="A40" s="80" t="s">
        <v>411</v>
      </c>
      <c r="B40" s="68" t="s">
        <v>418</v>
      </c>
      <c r="C40" s="81" t="s">
        <v>94</v>
      </c>
      <c r="D40" s="82" t="str">
        <f>IFERROR(ROUND(AVERAGEIF('📝 DATA ENTRY'!FG6:FG205,"&gt;0"),1),"")</f>
        <v/>
      </c>
      <c r="E40" s="83" t="str">
        <f>IFERROR(ROUND(AVERAGEIF('📝 DATA ENTRY'!FH6:FH205,"&gt;0"),1),"")</f>
        <v/>
      </c>
      <c r="F40" s="84" t="str">
        <f>IFERROR(ROUND(AVERAGEIF('📝 DATA ENTRY'!FI6:FI205,"&gt;0"),1),"")</f>
        <v/>
      </c>
      <c r="G40" s="85" t="str">
        <f>IFERROR(ROUND(AVERAGEIF('📝 DATA ENTRY'!FJ6:FJ205,"&gt;0"),1),"")</f>
        <v/>
      </c>
      <c r="H40" s="135" t="s">
        <v>419</v>
      </c>
    </row>
    <row r="41" spans="1:8" ht="19.5" customHeight="1">
      <c r="A41" s="79" t="s">
        <v>411</v>
      </c>
      <c r="B41" s="68" t="s">
        <v>420</v>
      </c>
      <c r="C41" s="26" t="s">
        <v>95</v>
      </c>
      <c r="D41" s="29" t="str">
        <f>IFERROR(ROUND(AVERAGEIF('📝 DATA ENTRY'!FK6:FK205,"&gt;0"),1),"")</f>
        <v/>
      </c>
      <c r="E41" s="30" t="str">
        <f>IFERROR(ROUND(AVERAGEIF('📝 DATA ENTRY'!FL6:FL205,"&gt;0"),1),"")</f>
        <v/>
      </c>
      <c r="F41" s="31" t="str">
        <f>IFERROR(ROUND(AVERAGEIF('📝 DATA ENTRY'!FM6:FM205,"&gt;0"),1),"")</f>
        <v/>
      </c>
      <c r="G41" s="32" t="str">
        <f>IFERROR(ROUND(AVERAGEIF('📝 DATA ENTRY'!FN6:FN205,"&gt;0"),1),"")</f>
        <v/>
      </c>
      <c r="H41" s="125" t="s">
        <v>421</v>
      </c>
    </row>
    <row r="42" spans="1:8" ht="25.5" customHeight="1">
      <c r="A42" s="192" t="s">
        <v>422</v>
      </c>
      <c r="B42" s="192"/>
      <c r="C42" s="192"/>
      <c r="D42" s="86" t="str">
        <f>IFERROR(ROUND(AVERAGE(D37,D38,D39,D40,D41),1),"")</f>
        <v/>
      </c>
      <c r="E42" s="86" t="str">
        <f>IFERROR(ROUND(AVERAGE(E37,E38,E39,E40,E41),1),"")</f>
        <v/>
      </c>
      <c r="F42" s="86" t="str">
        <f>IFERROR(ROUND(AVERAGE(F37,F38,F39,F40,F41),1),"")</f>
        <v/>
      </c>
      <c r="G42" s="86" t="str">
        <f>IFERROR(ROUND(AVERAGE(G37,G38,G39,G40,G41),1),"")</f>
        <v/>
      </c>
      <c r="H42" s="136"/>
    </row>
    <row r="44" spans="1:8" ht="31.5" customHeight="1">
      <c r="A44" s="188" t="s">
        <v>423</v>
      </c>
      <c r="B44" s="188"/>
      <c r="C44" s="188"/>
      <c r="D44" s="59">
        <f>IFERROR(ROUND(AVERAGE(D10,D18,D26,D34,D42),1),"")</f>
        <v>8.5</v>
      </c>
      <c r="E44" s="60" t="str">
        <f>IFERROR(ROUND(AVERAGE(E10,E18,E26,E34,E42),1),"")</f>
        <v/>
      </c>
      <c r="F44" s="61" t="str">
        <f>IFERROR(ROUND(AVERAGE(F10,F18,F26,F34,F42),1),"")</f>
        <v/>
      </c>
      <c r="G44" s="62" t="str">
        <f>IFERROR(ROUND(AVERAGE(G10,G18,G26,G34,G42),1),"")</f>
        <v/>
      </c>
      <c r="H44" s="137"/>
    </row>
  </sheetData>
  <mergeCells count="14">
    <mergeCell ref="A34:C34"/>
    <mergeCell ref="A36:H36"/>
    <mergeCell ref="A42:C42"/>
    <mergeCell ref="A44:C44"/>
    <mergeCell ref="A12:H12"/>
    <mergeCell ref="A18:C18"/>
    <mergeCell ref="A20:H20"/>
    <mergeCell ref="A26:C26"/>
    <mergeCell ref="A28:H28"/>
    <mergeCell ref="A1:K1"/>
    <mergeCell ref="A2:K2"/>
    <mergeCell ref="A3:B3"/>
    <mergeCell ref="A4:H4"/>
    <mergeCell ref="A10:C10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9"/>
  <sheetViews>
    <sheetView showGridLines="0" zoomScale="103" zoomScaleNormal="100" workbookViewId="0">
      <pane ySplit="3" topLeftCell="A17" activePane="bottomLeft" state="frozen"/>
      <selection pane="bottomLeft" activeCell="A4" sqref="A4:H4"/>
    </sheetView>
  </sheetViews>
  <sheetFormatPr defaultColWidth="8.6328125" defaultRowHeight="14.5"/>
  <cols>
    <col min="1" max="1" width="44.54296875" style="196" customWidth="1"/>
    <col min="2" max="2" width="18" customWidth="1"/>
    <col min="3" max="8" width="14" customWidth="1"/>
  </cols>
  <sheetData>
    <row r="1" spans="1:8" ht="30" customHeight="1">
      <c r="A1" s="174" t="s">
        <v>424</v>
      </c>
      <c r="B1" s="174"/>
      <c r="C1" s="174"/>
      <c r="D1" s="174"/>
      <c r="E1" s="174"/>
      <c r="F1" s="174"/>
      <c r="G1" s="174"/>
      <c r="H1" s="174"/>
    </row>
    <row r="2" spans="1:8" ht="15" customHeight="1">
      <c r="A2" s="147" t="s">
        <v>425</v>
      </c>
      <c r="B2" s="147"/>
      <c r="C2" s="147"/>
      <c r="D2" s="147"/>
      <c r="E2" s="147"/>
      <c r="F2" s="147"/>
      <c r="G2" s="147"/>
      <c r="H2" s="147"/>
    </row>
    <row r="3" spans="1:8" ht="36" customHeight="1">
      <c r="A3" s="21" t="s">
        <v>426</v>
      </c>
      <c r="B3" s="21" t="s">
        <v>427</v>
      </c>
      <c r="C3" s="21" t="s">
        <v>428</v>
      </c>
      <c r="D3" s="21" t="s">
        <v>429</v>
      </c>
      <c r="E3" s="21" t="s">
        <v>430</v>
      </c>
      <c r="F3" s="21" t="s">
        <v>431</v>
      </c>
      <c r="G3" s="21" t="s">
        <v>432</v>
      </c>
      <c r="H3" s="21" t="s">
        <v>433</v>
      </c>
    </row>
    <row r="4" spans="1:8" ht="21.75" customHeight="1">
      <c r="A4" s="193" t="s">
        <v>434</v>
      </c>
      <c r="B4" s="193"/>
      <c r="C4" s="193"/>
      <c r="D4" s="193"/>
      <c r="E4" s="193"/>
      <c r="F4" s="193"/>
      <c r="G4" s="193"/>
      <c r="H4" s="193"/>
    </row>
    <row r="5" spans="1:8" ht="21.75" customHeight="1">
      <c r="A5" s="125" t="s">
        <v>96</v>
      </c>
      <c r="B5" s="87" t="s">
        <v>294</v>
      </c>
      <c r="C5" s="88">
        <f>COUNTIF('📝 DATA ENTRY'!FO6:FO205,"Asian Paints")</f>
        <v>0</v>
      </c>
      <c r="D5" s="88">
        <f>COUNTIF('📝 DATA ENTRY'!FP6:FP205,"Asian Paints")</f>
        <v>0</v>
      </c>
      <c r="E5" s="88">
        <f>COUNTIF('📝 DATA ENTRY'!FQ6:FQ205,"Asian Paints")</f>
        <v>0</v>
      </c>
      <c r="F5" s="89">
        <f>C5*5+D5*3+E5*1</f>
        <v>0</v>
      </c>
      <c r="G5" s="48" t="str">
        <f>IFERROR(ROUND(F5/MAX(F5:F8)*10,1),"")</f>
        <v/>
      </c>
      <c r="H5" s="43" t="str">
        <f>IFERROR(RANK(G5,G5:G8,0),"")</f>
        <v/>
      </c>
    </row>
    <row r="6" spans="1:8" ht="21.75" customHeight="1">
      <c r="A6" s="195" t="s">
        <v>96</v>
      </c>
      <c r="B6" s="90" t="s">
        <v>295</v>
      </c>
      <c r="C6" s="91">
        <f>COUNTIF('📝 DATA ENTRY'!FO6:FO205,"Birla Opus")</f>
        <v>0</v>
      </c>
      <c r="D6" s="91">
        <f>COUNTIF('📝 DATA ENTRY'!FP6:FP205,"Birla Opus")</f>
        <v>0</v>
      </c>
      <c r="E6" s="91">
        <f>COUNTIF('📝 DATA ENTRY'!FQ6:FQ205,"Birla Opus")</f>
        <v>0</v>
      </c>
      <c r="F6" s="89">
        <f>C6*5+D6*3+E6*1</f>
        <v>0</v>
      </c>
      <c r="G6" s="48" t="str">
        <f>IFERROR(ROUND(F6/MAX(F5:F8)*10,1),"")</f>
        <v/>
      </c>
      <c r="H6" s="43" t="str">
        <f>IFERROR(RANK(G6,G5:G8,0),"")</f>
        <v/>
      </c>
    </row>
    <row r="7" spans="1:8" ht="21.75" customHeight="1">
      <c r="A7" s="125" t="s">
        <v>96</v>
      </c>
      <c r="B7" s="92" t="s">
        <v>296</v>
      </c>
      <c r="C7" s="88">
        <f>COUNTIF('📝 DATA ENTRY'!FO6:FO205,"Dulux Paints")</f>
        <v>0</v>
      </c>
      <c r="D7" s="88">
        <f>COUNTIF('📝 DATA ENTRY'!FP6:FP205,"Dulux Paints")</f>
        <v>0</v>
      </c>
      <c r="E7" s="88">
        <f>COUNTIF('📝 DATA ENTRY'!FQ6:FQ205,"Dulux Paints")</f>
        <v>0</v>
      </c>
      <c r="F7" s="89">
        <f>C7*5+D7*3+E7*1</f>
        <v>0</v>
      </c>
      <c r="G7" s="48" t="str">
        <f>IFERROR(ROUND(F7/MAX(F5:F8)*10,1),"")</f>
        <v/>
      </c>
      <c r="H7" s="43" t="str">
        <f>IFERROR(RANK(G7,G5:G8,0),"")</f>
        <v/>
      </c>
    </row>
    <row r="8" spans="1:8" ht="21.75" customHeight="1">
      <c r="A8" s="195" t="s">
        <v>96</v>
      </c>
      <c r="B8" s="93" t="s">
        <v>297</v>
      </c>
      <c r="C8" s="91">
        <f>COUNTIF('📝 DATA ENTRY'!FO6:FO205,"JSW Paints")</f>
        <v>0</v>
      </c>
      <c r="D8" s="91">
        <f>COUNTIF('📝 DATA ENTRY'!FP6:FP205,"JSW Paints")</f>
        <v>0</v>
      </c>
      <c r="E8" s="91">
        <f>COUNTIF('📝 DATA ENTRY'!FQ6:FQ205,"JSW Paints")</f>
        <v>0</v>
      </c>
      <c r="F8" s="89">
        <f>C8*5+D8*3+E8*1</f>
        <v>0</v>
      </c>
      <c r="G8" s="48" t="str">
        <f>IFERROR(ROUND(F8/MAX(F5:F8)*10,1),"")</f>
        <v/>
      </c>
      <c r="H8" s="43" t="str">
        <f>IFERROR(RANK(G8,G5:G8,0),"")</f>
        <v/>
      </c>
    </row>
    <row r="10" spans="1:8" ht="21.75" customHeight="1">
      <c r="A10" s="193" t="s">
        <v>435</v>
      </c>
      <c r="B10" s="193"/>
      <c r="C10" s="193"/>
      <c r="D10" s="193"/>
      <c r="E10" s="193"/>
      <c r="F10" s="193"/>
      <c r="G10" s="193"/>
      <c r="H10" s="193"/>
    </row>
    <row r="11" spans="1:8" ht="21.75" customHeight="1">
      <c r="A11" s="125" t="s">
        <v>97</v>
      </c>
      <c r="B11" s="87" t="s">
        <v>294</v>
      </c>
      <c r="C11" s="88">
        <f>COUNTIF('📝 DATA ENTRY'!FR6:FR205,"Asian Paints")</f>
        <v>0</v>
      </c>
      <c r="D11" s="88">
        <f>COUNTIF('📝 DATA ENTRY'!FS6:FS205,"Asian Paints")</f>
        <v>0</v>
      </c>
      <c r="E11" s="88">
        <f>COUNTIF('📝 DATA ENTRY'!FT6:FT205,"Asian Paints")</f>
        <v>0</v>
      </c>
      <c r="F11" s="89">
        <f>C11*5+D11*3+E11*1</f>
        <v>0</v>
      </c>
      <c r="G11" s="48" t="str">
        <f>IFERROR(ROUND(F11/MAX(F11:F14)*10,1),"")</f>
        <v/>
      </c>
      <c r="H11" s="43" t="str">
        <f>IFERROR(RANK(G11,G11:G14,0),"")</f>
        <v/>
      </c>
    </row>
    <row r="12" spans="1:8" ht="21.75" customHeight="1">
      <c r="A12" s="195" t="s">
        <v>97</v>
      </c>
      <c r="B12" s="90" t="s">
        <v>295</v>
      </c>
      <c r="C12" s="91">
        <f>COUNTIF('📝 DATA ENTRY'!FR6:FR205,"Birla Opus")</f>
        <v>0</v>
      </c>
      <c r="D12" s="91">
        <f>COUNTIF('📝 DATA ENTRY'!FS6:FS205,"Birla Opus")</f>
        <v>0</v>
      </c>
      <c r="E12" s="91">
        <f>COUNTIF('📝 DATA ENTRY'!FT6:FT205,"Birla Opus")</f>
        <v>0</v>
      </c>
      <c r="F12" s="89">
        <f>C12*5+D12*3+E12*1</f>
        <v>0</v>
      </c>
      <c r="G12" s="48" t="str">
        <f>IFERROR(ROUND(F12/MAX(F11:F14)*10,1),"")</f>
        <v/>
      </c>
      <c r="H12" s="43" t="str">
        <f>IFERROR(RANK(G12,G11:G14,0),"")</f>
        <v/>
      </c>
    </row>
    <row r="13" spans="1:8" ht="21.75" customHeight="1">
      <c r="A13" s="125" t="s">
        <v>97</v>
      </c>
      <c r="B13" s="92" t="s">
        <v>296</v>
      </c>
      <c r="C13" s="88">
        <f>COUNTIF('📝 DATA ENTRY'!FR6:FR205,"Dulux Paints")</f>
        <v>0</v>
      </c>
      <c r="D13" s="88">
        <f>COUNTIF('📝 DATA ENTRY'!FS6:FS205,"Dulux Paints")</f>
        <v>0</v>
      </c>
      <c r="E13" s="88">
        <f>COUNTIF('📝 DATA ENTRY'!FT6:FT205,"Dulux Paints")</f>
        <v>0</v>
      </c>
      <c r="F13" s="89">
        <f>C13*5+D13*3+E13*1</f>
        <v>0</v>
      </c>
      <c r="G13" s="48" t="str">
        <f>IFERROR(ROUND(F13/MAX(F11:F14)*10,1),"")</f>
        <v/>
      </c>
      <c r="H13" s="43" t="str">
        <f>IFERROR(RANK(G13,G11:G14,0),"")</f>
        <v/>
      </c>
    </row>
    <row r="14" spans="1:8" ht="21.75" customHeight="1">
      <c r="A14" s="195" t="s">
        <v>97</v>
      </c>
      <c r="B14" s="93" t="s">
        <v>297</v>
      </c>
      <c r="C14" s="91">
        <f>COUNTIF('📝 DATA ENTRY'!FR6:FR205,"JSW Paints")</f>
        <v>0</v>
      </c>
      <c r="D14" s="91">
        <f>COUNTIF('📝 DATA ENTRY'!FS6:FS205,"JSW Paints")</f>
        <v>0</v>
      </c>
      <c r="E14" s="91">
        <f>COUNTIF('📝 DATA ENTRY'!FT6:FT205,"JSW Paints")</f>
        <v>0</v>
      </c>
      <c r="F14" s="89">
        <f>C14*5+D14*3+E14*1</f>
        <v>0</v>
      </c>
      <c r="G14" s="48" t="str">
        <f>IFERROR(ROUND(F14/MAX(F11:F14)*10,1),"")</f>
        <v/>
      </c>
      <c r="H14" s="43" t="str">
        <f>IFERROR(RANK(G14,G11:G14,0),"")</f>
        <v/>
      </c>
    </row>
    <row r="16" spans="1:8" ht="21.75" customHeight="1">
      <c r="A16" s="193" t="s">
        <v>436</v>
      </c>
      <c r="B16" s="193"/>
      <c r="C16" s="193"/>
      <c r="D16" s="193"/>
      <c r="E16" s="193"/>
      <c r="F16" s="193"/>
      <c r="G16" s="193"/>
      <c r="H16" s="193"/>
    </row>
    <row r="17" spans="1:8" ht="21.75" customHeight="1">
      <c r="A17" s="125" t="s">
        <v>98</v>
      </c>
      <c r="B17" s="87" t="s">
        <v>294</v>
      </c>
      <c r="C17" s="88">
        <f>COUNTIF('📝 DATA ENTRY'!FU6:FU205,"Asian Paints")</f>
        <v>0</v>
      </c>
      <c r="D17" s="88">
        <f>COUNTIF('📝 DATA ENTRY'!FV6:FV205,"Asian Paints")</f>
        <v>0</v>
      </c>
      <c r="E17" s="88">
        <f>COUNTIF('📝 DATA ENTRY'!FW6:FW205,"Asian Paints")</f>
        <v>0</v>
      </c>
      <c r="F17" s="89">
        <f>C17*5+D17*3+E17*1</f>
        <v>0</v>
      </c>
      <c r="G17" s="48" t="str">
        <f>IFERROR(ROUND(F17/MAX(F17:F20)*10,1),"")</f>
        <v/>
      </c>
      <c r="H17" s="43" t="str">
        <f>IFERROR(RANK(G17,G17:G20,0),"")</f>
        <v/>
      </c>
    </row>
    <row r="18" spans="1:8" ht="21.75" customHeight="1">
      <c r="A18" s="195" t="s">
        <v>98</v>
      </c>
      <c r="B18" s="90" t="s">
        <v>295</v>
      </c>
      <c r="C18" s="91">
        <f>COUNTIF('📝 DATA ENTRY'!FU6:FU205,"Birla Opus")</f>
        <v>0</v>
      </c>
      <c r="D18" s="91">
        <f>COUNTIF('📝 DATA ENTRY'!FV6:FV205,"Birla Opus")</f>
        <v>0</v>
      </c>
      <c r="E18" s="91">
        <f>COUNTIF('📝 DATA ENTRY'!FW6:FW205,"Birla Opus")</f>
        <v>0</v>
      </c>
      <c r="F18" s="89">
        <f>C18*5+D18*3+E18*1</f>
        <v>0</v>
      </c>
      <c r="G18" s="48" t="str">
        <f>IFERROR(ROUND(F18/MAX(F17:F20)*10,1),"")</f>
        <v/>
      </c>
      <c r="H18" s="43" t="str">
        <f>IFERROR(RANK(G18,G17:G20,0),"")</f>
        <v/>
      </c>
    </row>
    <row r="19" spans="1:8" ht="21.75" customHeight="1">
      <c r="A19" s="125" t="s">
        <v>98</v>
      </c>
      <c r="B19" s="92" t="s">
        <v>296</v>
      </c>
      <c r="C19" s="88">
        <f>COUNTIF('📝 DATA ENTRY'!FU6:FU205,"Dulux Paints")</f>
        <v>0</v>
      </c>
      <c r="D19" s="88">
        <f>COUNTIF('📝 DATA ENTRY'!FV6:FV205,"Dulux Paints")</f>
        <v>0</v>
      </c>
      <c r="E19" s="88">
        <f>COUNTIF('📝 DATA ENTRY'!FW6:FW205,"Dulux Paints")</f>
        <v>0</v>
      </c>
      <c r="F19" s="89">
        <f>C19*5+D19*3+E19*1</f>
        <v>0</v>
      </c>
      <c r="G19" s="48" t="str">
        <f>IFERROR(ROUND(F19/MAX(F17:F20)*10,1),"")</f>
        <v/>
      </c>
      <c r="H19" s="43" t="str">
        <f>IFERROR(RANK(G19,G17:G20,0),"")</f>
        <v/>
      </c>
    </row>
    <row r="20" spans="1:8" ht="21.75" customHeight="1">
      <c r="A20" s="195" t="s">
        <v>98</v>
      </c>
      <c r="B20" s="93" t="s">
        <v>297</v>
      </c>
      <c r="C20" s="91">
        <f>COUNTIF('📝 DATA ENTRY'!FU6:FU205,"JSW Paints")</f>
        <v>0</v>
      </c>
      <c r="D20" s="91">
        <f>COUNTIF('📝 DATA ENTRY'!FV6:FV205,"JSW Paints")</f>
        <v>0</v>
      </c>
      <c r="E20" s="91">
        <f>COUNTIF('📝 DATA ENTRY'!FW6:FW205,"JSW Paints")</f>
        <v>0</v>
      </c>
      <c r="F20" s="89">
        <f>C20*5+D20*3+E20*1</f>
        <v>0</v>
      </c>
      <c r="G20" s="48" t="str">
        <f>IFERROR(ROUND(F20/MAX(F17:F20)*10,1),"")</f>
        <v/>
      </c>
      <c r="H20" s="43" t="str">
        <f>IFERROR(RANK(G20,G17:G20,0),"")</f>
        <v/>
      </c>
    </row>
    <row r="22" spans="1:8" ht="21.75" customHeight="1">
      <c r="A22" s="193" t="s">
        <v>437</v>
      </c>
      <c r="B22" s="193"/>
      <c r="C22" s="193"/>
      <c r="D22" s="193"/>
      <c r="E22" s="193"/>
      <c r="F22" s="193"/>
      <c r="G22" s="193"/>
      <c r="H22" s="193"/>
    </row>
    <row r="23" spans="1:8" ht="21.75" customHeight="1">
      <c r="A23" s="125" t="s">
        <v>99</v>
      </c>
      <c r="B23" s="87" t="s">
        <v>294</v>
      </c>
      <c r="C23" s="88">
        <f>COUNTIF('📝 DATA ENTRY'!FX6:FX205,"Asian Paints")</f>
        <v>0</v>
      </c>
      <c r="D23" s="88">
        <f>COUNTIF('📝 DATA ENTRY'!FY6:FY205,"Asian Paints")</f>
        <v>0</v>
      </c>
      <c r="E23" s="88">
        <f>COUNTIF('📝 DATA ENTRY'!FZ6:FZ205,"Asian Paints")</f>
        <v>0</v>
      </c>
      <c r="F23" s="89">
        <f>C23*5+D23*3+E23*1</f>
        <v>0</v>
      </c>
      <c r="G23" s="48" t="str">
        <f>IFERROR(ROUND(F23/MAX(F23:F26)*10,1),"")</f>
        <v/>
      </c>
      <c r="H23" s="43" t="str">
        <f>IFERROR(RANK(G23,G23:G26,0),"")</f>
        <v/>
      </c>
    </row>
    <row r="24" spans="1:8" ht="21.75" customHeight="1">
      <c r="A24" s="195" t="s">
        <v>99</v>
      </c>
      <c r="B24" s="90" t="s">
        <v>295</v>
      </c>
      <c r="C24" s="91">
        <f>COUNTIF('📝 DATA ENTRY'!FX6:FX205,"Birla Opus")</f>
        <v>0</v>
      </c>
      <c r="D24" s="91">
        <f>COUNTIF('📝 DATA ENTRY'!FY6:FY205,"Birla Opus")</f>
        <v>0</v>
      </c>
      <c r="E24" s="91">
        <f>COUNTIF('📝 DATA ENTRY'!FZ6:FZ205,"Birla Opus")</f>
        <v>0</v>
      </c>
      <c r="F24" s="89">
        <f>C24*5+D24*3+E24*1</f>
        <v>0</v>
      </c>
      <c r="G24" s="48" t="str">
        <f>IFERROR(ROUND(F24/MAX(F23:F26)*10,1),"")</f>
        <v/>
      </c>
      <c r="H24" s="43" t="str">
        <f>IFERROR(RANK(G24,G23:G26,0),"")</f>
        <v/>
      </c>
    </row>
    <row r="25" spans="1:8" ht="21.75" customHeight="1">
      <c r="A25" s="125" t="s">
        <v>99</v>
      </c>
      <c r="B25" s="92" t="s">
        <v>296</v>
      </c>
      <c r="C25" s="88">
        <f>COUNTIF('📝 DATA ENTRY'!FX6:FX205,"Dulux Paints")</f>
        <v>0</v>
      </c>
      <c r="D25" s="88">
        <f>COUNTIF('📝 DATA ENTRY'!FY6:FY205,"Dulux Paints")</f>
        <v>0</v>
      </c>
      <c r="E25" s="88">
        <f>COUNTIF('📝 DATA ENTRY'!FZ6:FZ205,"Dulux Paints")</f>
        <v>0</v>
      </c>
      <c r="F25" s="89">
        <f>C25*5+D25*3+E25*1</f>
        <v>0</v>
      </c>
      <c r="G25" s="48" t="str">
        <f>IFERROR(ROUND(F25/MAX(F23:F26)*10,1),"")</f>
        <v/>
      </c>
      <c r="H25" s="43" t="str">
        <f>IFERROR(RANK(G25,G23:G26,0),"")</f>
        <v/>
      </c>
    </row>
    <row r="26" spans="1:8" ht="21.75" customHeight="1">
      <c r="A26" s="195" t="s">
        <v>99</v>
      </c>
      <c r="B26" s="93" t="s">
        <v>297</v>
      </c>
      <c r="C26" s="91">
        <f>COUNTIF('📝 DATA ENTRY'!FX6:FX205,"JSW Paints")</f>
        <v>0</v>
      </c>
      <c r="D26" s="91">
        <f>COUNTIF('📝 DATA ENTRY'!FY6:FY205,"JSW Paints")</f>
        <v>0</v>
      </c>
      <c r="E26" s="91">
        <f>COUNTIF('📝 DATA ENTRY'!FZ6:FZ205,"JSW Paints")</f>
        <v>0</v>
      </c>
      <c r="F26" s="89">
        <f>C26*5+D26*3+E26*1</f>
        <v>0</v>
      </c>
      <c r="G26" s="48" t="str">
        <f>IFERROR(ROUND(F26/MAX(F23:F26)*10,1),"")</f>
        <v/>
      </c>
      <c r="H26" s="43" t="str">
        <f>IFERROR(RANK(G26,G23:G26,0),"")</f>
        <v/>
      </c>
    </row>
    <row r="28" spans="1:8" ht="21.75" customHeight="1">
      <c r="A28" s="193" t="s">
        <v>438</v>
      </c>
      <c r="B28" s="193"/>
      <c r="C28" s="193"/>
      <c r="D28" s="193"/>
      <c r="E28" s="193"/>
      <c r="F28" s="193"/>
      <c r="G28" s="193"/>
      <c r="H28" s="193"/>
    </row>
    <row r="29" spans="1:8" ht="21.75" customHeight="1">
      <c r="A29" s="125" t="s">
        <v>100</v>
      </c>
      <c r="B29" s="87" t="s">
        <v>294</v>
      </c>
      <c r="C29" s="88">
        <f>COUNTIF('📝 DATA ENTRY'!GA6:GA205,"Asian Paints")</f>
        <v>0</v>
      </c>
      <c r="D29" s="88">
        <f>COUNTIF('📝 DATA ENTRY'!GB6:GB205,"Asian Paints")</f>
        <v>0</v>
      </c>
      <c r="E29" s="88">
        <f>COUNTIF('📝 DATA ENTRY'!GC6:GC205,"Asian Paints")</f>
        <v>0</v>
      </c>
      <c r="F29" s="89">
        <f>C29*5+D29*3+E29*1</f>
        <v>0</v>
      </c>
      <c r="G29" s="48" t="str">
        <f>IFERROR(ROUND(F29/MAX(F29:F32)*10,1),"")</f>
        <v/>
      </c>
      <c r="H29" s="43" t="str">
        <f>IFERROR(RANK(G29,G29:G32,0),"")</f>
        <v/>
      </c>
    </row>
    <row r="30" spans="1:8" ht="21.75" customHeight="1">
      <c r="A30" s="195" t="s">
        <v>100</v>
      </c>
      <c r="B30" s="90" t="s">
        <v>295</v>
      </c>
      <c r="C30" s="91">
        <f>COUNTIF('📝 DATA ENTRY'!GA6:GA205,"Birla Opus")</f>
        <v>0</v>
      </c>
      <c r="D30" s="91">
        <f>COUNTIF('📝 DATA ENTRY'!GB6:GB205,"Birla Opus")</f>
        <v>0</v>
      </c>
      <c r="E30" s="91">
        <f>COUNTIF('📝 DATA ENTRY'!GC6:GC205,"Birla Opus")</f>
        <v>0</v>
      </c>
      <c r="F30" s="89">
        <f>C30*5+D30*3+E30*1</f>
        <v>0</v>
      </c>
      <c r="G30" s="48" t="str">
        <f>IFERROR(ROUND(F30/MAX(F29:F32)*10,1),"")</f>
        <v/>
      </c>
      <c r="H30" s="43" t="str">
        <f>IFERROR(RANK(G30,G29:G32,0),"")</f>
        <v/>
      </c>
    </row>
    <row r="31" spans="1:8" ht="21.75" customHeight="1">
      <c r="A31" s="125" t="s">
        <v>100</v>
      </c>
      <c r="B31" s="92" t="s">
        <v>296</v>
      </c>
      <c r="C31" s="88">
        <f>COUNTIF('📝 DATA ENTRY'!GA6:GA205,"Dulux Paints")</f>
        <v>0</v>
      </c>
      <c r="D31" s="88">
        <f>COUNTIF('📝 DATA ENTRY'!GB6:GB205,"Dulux Paints")</f>
        <v>0</v>
      </c>
      <c r="E31" s="88">
        <f>COUNTIF('📝 DATA ENTRY'!GC6:GC205,"Dulux Paints")</f>
        <v>0</v>
      </c>
      <c r="F31" s="89">
        <f>C31*5+D31*3+E31*1</f>
        <v>0</v>
      </c>
      <c r="G31" s="48" t="str">
        <f>IFERROR(ROUND(F31/MAX(F29:F32)*10,1),"")</f>
        <v/>
      </c>
      <c r="H31" s="43" t="str">
        <f>IFERROR(RANK(G31,G29:G32,0),"")</f>
        <v/>
      </c>
    </row>
    <row r="32" spans="1:8" ht="21.75" customHeight="1">
      <c r="A32" s="195" t="s">
        <v>100</v>
      </c>
      <c r="B32" s="93" t="s">
        <v>297</v>
      </c>
      <c r="C32" s="91">
        <f>COUNTIF('📝 DATA ENTRY'!GA6:GA205,"JSW Paints")</f>
        <v>0</v>
      </c>
      <c r="D32" s="91">
        <f>COUNTIF('📝 DATA ENTRY'!GB6:GB205,"JSW Paints")</f>
        <v>0</v>
      </c>
      <c r="E32" s="91">
        <f>COUNTIF('📝 DATA ENTRY'!GC6:GC205,"JSW Paints")</f>
        <v>0</v>
      </c>
      <c r="F32" s="89">
        <f>C32*5+D32*3+E32*1</f>
        <v>0</v>
      </c>
      <c r="G32" s="48" t="str">
        <f>IFERROR(ROUND(F32/MAX(F29:F32)*10,1),"")</f>
        <v/>
      </c>
      <c r="H32" s="43" t="str">
        <f>IFERROR(RANK(G32,G29:G32,0),"")</f>
        <v/>
      </c>
    </row>
    <row r="35" spans="1:3" ht="18.5">
      <c r="A35" s="139" t="s">
        <v>467</v>
      </c>
    </row>
    <row r="36" spans="1:3">
      <c r="B36" s="140" t="s">
        <v>294</v>
      </c>
      <c r="C36" s="138">
        <f>IFERROR(ROUND(AVERAGE(F5,F11,F17,F23,F29),1),"")</f>
        <v>0</v>
      </c>
    </row>
    <row r="37" spans="1:3">
      <c r="B37" s="141" t="s">
        <v>295</v>
      </c>
      <c r="C37" s="138">
        <f t="shared" ref="C37:C39" si="0">IFERROR(ROUND(AVERAGE(F6,F12,F18,F24,F30),1),"")</f>
        <v>0</v>
      </c>
    </row>
    <row r="38" spans="1:3">
      <c r="B38" s="142" t="s">
        <v>296</v>
      </c>
      <c r="C38" s="138">
        <f t="shared" si="0"/>
        <v>0</v>
      </c>
    </row>
    <row r="39" spans="1:3">
      <c r="B39" s="143" t="s">
        <v>297</v>
      </c>
      <c r="C39" s="138">
        <f t="shared" si="0"/>
        <v>0</v>
      </c>
    </row>
  </sheetData>
  <mergeCells count="7">
    <mergeCell ref="A22:H22"/>
    <mergeCell ref="A28:H28"/>
    <mergeCell ref="A1:H1"/>
    <mergeCell ref="A2:H2"/>
    <mergeCell ref="A4:H4"/>
    <mergeCell ref="A10:H10"/>
    <mergeCell ref="A16:H16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7"/>
  <sheetViews>
    <sheetView showGridLines="0" zoomScaleNormal="100" workbookViewId="0">
      <pane ySplit="3" topLeftCell="A44" activePane="bottomLeft" state="frozen"/>
      <selection pane="bottomLeft" activeCell="E53" sqref="E53"/>
    </sheetView>
  </sheetViews>
  <sheetFormatPr defaultColWidth="8.6328125" defaultRowHeight="14.5"/>
  <cols>
    <col min="1" max="1" width="41.54296875" customWidth="1"/>
    <col min="2" max="6" width="18" customWidth="1"/>
  </cols>
  <sheetData>
    <row r="1" spans="1:8" ht="30" customHeight="1">
      <c r="A1" s="174" t="s">
        <v>439</v>
      </c>
      <c r="B1" s="174"/>
      <c r="C1" s="174"/>
      <c r="D1" s="174"/>
      <c r="E1" s="174"/>
      <c r="F1" s="174"/>
      <c r="G1" s="174"/>
      <c r="H1" s="174"/>
    </row>
    <row r="2" spans="1:8" ht="15" customHeight="1">
      <c r="A2" s="147" t="s">
        <v>440</v>
      </c>
      <c r="B2" s="147"/>
      <c r="C2" s="147"/>
      <c r="D2" s="147"/>
      <c r="E2" s="147"/>
      <c r="F2" s="147"/>
      <c r="G2" s="147"/>
      <c r="H2" s="147"/>
    </row>
    <row r="3" spans="1:8" ht="25.5" customHeight="1">
      <c r="A3" s="21" t="s">
        <v>441</v>
      </c>
      <c r="B3" s="21" t="s">
        <v>427</v>
      </c>
      <c r="C3" s="21" t="s">
        <v>442</v>
      </c>
      <c r="D3" s="21" t="s">
        <v>443</v>
      </c>
      <c r="E3" s="21" t="s">
        <v>444</v>
      </c>
      <c r="F3" s="21" t="s">
        <v>445</v>
      </c>
    </row>
    <row r="4" spans="1:8" ht="21.75" customHeight="1">
      <c r="A4" s="194" t="s">
        <v>446</v>
      </c>
      <c r="B4" s="194"/>
      <c r="C4" s="194"/>
      <c r="D4" s="194"/>
      <c r="E4" s="194"/>
      <c r="F4" s="194"/>
    </row>
    <row r="5" spans="1:8" ht="21.75" customHeight="1">
      <c r="A5" s="125" t="s">
        <v>101</v>
      </c>
      <c r="B5" s="87" t="s">
        <v>294</v>
      </c>
      <c r="C5" s="88">
        <f>COUNTIF('📝 DATA ENTRY'!GD6:GD205,"Asian Paints")</f>
        <v>0</v>
      </c>
      <c r="D5" s="28">
        <f>MAX(C5:C8)</f>
        <v>0</v>
      </c>
      <c r="E5" s="48" t="str">
        <f>IFERROR(ROUND(C5/D5*10,1),"")</f>
        <v/>
      </c>
      <c r="F5" s="43">
        <f>IFERROR(RANK(C5,C5:C8,0),"")</f>
        <v>1</v>
      </c>
    </row>
    <row r="6" spans="1:8" ht="21.75" customHeight="1">
      <c r="A6" s="133" t="s">
        <v>101</v>
      </c>
      <c r="B6" s="94" t="s">
        <v>295</v>
      </c>
      <c r="C6" s="95">
        <f>COUNTIF('📝 DATA ENTRY'!GD6:GD205,"Birla Opus")</f>
        <v>0</v>
      </c>
      <c r="D6" s="28">
        <f>MAX(C5:C8)</f>
        <v>0</v>
      </c>
      <c r="E6" s="48" t="str">
        <f>IFERROR(ROUND(C6/D6*10,1),"")</f>
        <v/>
      </c>
      <c r="F6" s="43">
        <f>IFERROR(RANK(C6,C5:C8,0),"")</f>
        <v>1</v>
      </c>
    </row>
    <row r="7" spans="1:8" ht="21.75" customHeight="1">
      <c r="A7" s="125" t="s">
        <v>101</v>
      </c>
      <c r="B7" s="92" t="s">
        <v>296</v>
      </c>
      <c r="C7" s="88">
        <f>COUNTIF('📝 DATA ENTRY'!GD6:GD205,"Dulux Paints")</f>
        <v>0</v>
      </c>
      <c r="D7" s="28">
        <f>MAX(C5:C8)</f>
        <v>0</v>
      </c>
      <c r="E7" s="48" t="str">
        <f>IFERROR(ROUND(C7/D7*10,1),"")</f>
        <v/>
      </c>
      <c r="F7" s="43">
        <f>IFERROR(RANK(C7,C5:C8,0),"")</f>
        <v>1</v>
      </c>
    </row>
    <row r="8" spans="1:8" ht="21.75" customHeight="1">
      <c r="A8" s="133" t="s">
        <v>101</v>
      </c>
      <c r="B8" s="96" t="s">
        <v>297</v>
      </c>
      <c r="C8" s="95">
        <f>COUNTIF('📝 DATA ENTRY'!GD6:GD205,"JSW Paints")</f>
        <v>0</v>
      </c>
      <c r="D8" s="28">
        <f>MAX(C5:C8)</f>
        <v>0</v>
      </c>
      <c r="E8" s="48" t="str">
        <f>IFERROR(ROUND(C8/D8*10,1),"")</f>
        <v/>
      </c>
      <c r="F8" s="43">
        <f>IFERROR(RANK(C8,C5:C8,0),"")</f>
        <v>1</v>
      </c>
    </row>
    <row r="10" spans="1:8" ht="21.75" customHeight="1">
      <c r="A10" s="194" t="s">
        <v>447</v>
      </c>
      <c r="B10" s="194"/>
      <c r="C10" s="194"/>
      <c r="D10" s="194"/>
      <c r="E10" s="194"/>
      <c r="F10" s="194"/>
    </row>
    <row r="11" spans="1:8" ht="21.75" customHeight="1">
      <c r="A11" s="125" t="s">
        <v>102</v>
      </c>
      <c r="B11" s="87" t="s">
        <v>294</v>
      </c>
      <c r="C11" s="88">
        <f>COUNTIF('📝 DATA ENTRY'!GE6:GE205,"Asian Paints")</f>
        <v>0</v>
      </c>
      <c r="D11" s="28">
        <f>MAX(C11:C14)</f>
        <v>0</v>
      </c>
      <c r="E11" s="48" t="str">
        <f>IFERROR(ROUND(C11/D11*10,1),"")</f>
        <v/>
      </c>
      <c r="F11" s="43">
        <f>IFERROR(RANK(C11,C11:C14,0),"")</f>
        <v>1</v>
      </c>
    </row>
    <row r="12" spans="1:8" ht="21.75" customHeight="1">
      <c r="A12" s="133" t="s">
        <v>102</v>
      </c>
      <c r="B12" s="94" t="s">
        <v>295</v>
      </c>
      <c r="C12" s="95">
        <f>COUNTIF('📝 DATA ENTRY'!GE6:GE205,"Birla Opus")</f>
        <v>0</v>
      </c>
      <c r="D12" s="28">
        <f>MAX(C11:C14)</f>
        <v>0</v>
      </c>
      <c r="E12" s="48" t="str">
        <f>IFERROR(ROUND(C12/D12*10,1),"")</f>
        <v/>
      </c>
      <c r="F12" s="43">
        <f>IFERROR(RANK(C12,C11:C14,0),"")</f>
        <v>1</v>
      </c>
    </row>
    <row r="13" spans="1:8" ht="21.75" customHeight="1">
      <c r="A13" s="125" t="s">
        <v>102</v>
      </c>
      <c r="B13" s="92" t="s">
        <v>296</v>
      </c>
      <c r="C13" s="88">
        <f>COUNTIF('📝 DATA ENTRY'!GE6:GE205,"Dulux Paints")</f>
        <v>0</v>
      </c>
      <c r="D13" s="28">
        <f>MAX(C11:C14)</f>
        <v>0</v>
      </c>
      <c r="E13" s="48" t="str">
        <f>IFERROR(ROUND(C13/D13*10,1),"")</f>
        <v/>
      </c>
      <c r="F13" s="43">
        <f>IFERROR(RANK(C13,C11:C14,0),"")</f>
        <v>1</v>
      </c>
    </row>
    <row r="14" spans="1:8" ht="21.75" customHeight="1">
      <c r="A14" s="133" t="s">
        <v>102</v>
      </c>
      <c r="B14" s="96" t="s">
        <v>297</v>
      </c>
      <c r="C14" s="95">
        <f>COUNTIF('📝 DATA ENTRY'!GE6:GE205,"JSW Paints")</f>
        <v>0</v>
      </c>
      <c r="D14" s="28">
        <f>MAX(C11:C14)</f>
        <v>0</v>
      </c>
      <c r="E14" s="48" t="str">
        <f>IFERROR(ROUND(C14/D14*10,1),"")</f>
        <v/>
      </c>
      <c r="F14" s="43">
        <f>IFERROR(RANK(C14,C11:C14,0),"")</f>
        <v>1</v>
      </c>
    </row>
    <row r="16" spans="1:8" ht="21.75" customHeight="1">
      <c r="A16" s="194" t="s">
        <v>448</v>
      </c>
      <c r="B16" s="194"/>
      <c r="C16" s="194"/>
      <c r="D16" s="194"/>
      <c r="E16" s="194"/>
      <c r="F16" s="194"/>
    </row>
    <row r="17" spans="1:6" ht="21.75" customHeight="1">
      <c r="A17" s="125" t="s">
        <v>103</v>
      </c>
      <c r="B17" s="87" t="s">
        <v>294</v>
      </c>
      <c r="C17" s="88">
        <f>COUNTIF('📝 DATA ENTRY'!GF6:GF205,"Asian Paints")</f>
        <v>0</v>
      </c>
      <c r="D17" s="28">
        <f>MAX(C17:C20)</f>
        <v>0</v>
      </c>
      <c r="E17" s="48" t="str">
        <f>IFERROR(ROUND(C17/D17*10,1),"")</f>
        <v/>
      </c>
      <c r="F17" s="43">
        <f>IFERROR(RANK(C17,C17:C20,0),"")</f>
        <v>1</v>
      </c>
    </row>
    <row r="18" spans="1:6" ht="21.75" customHeight="1">
      <c r="A18" s="133" t="s">
        <v>103</v>
      </c>
      <c r="B18" s="94" t="s">
        <v>295</v>
      </c>
      <c r="C18" s="95">
        <f>COUNTIF('📝 DATA ENTRY'!GF6:GF205,"Birla Opus")</f>
        <v>0</v>
      </c>
      <c r="D18" s="28">
        <f>MAX(C17:C20)</f>
        <v>0</v>
      </c>
      <c r="E18" s="48" t="str">
        <f>IFERROR(ROUND(C18/D18*10,1),"")</f>
        <v/>
      </c>
      <c r="F18" s="43">
        <f>IFERROR(RANK(C18,C17:C20,0),"")</f>
        <v>1</v>
      </c>
    </row>
    <row r="19" spans="1:6" ht="21.75" customHeight="1">
      <c r="A19" s="125" t="s">
        <v>103</v>
      </c>
      <c r="B19" s="92" t="s">
        <v>296</v>
      </c>
      <c r="C19" s="88">
        <f>COUNTIF('📝 DATA ENTRY'!GF6:GF205,"Dulux Paints")</f>
        <v>0</v>
      </c>
      <c r="D19" s="28">
        <f>MAX(C17:C20)</f>
        <v>0</v>
      </c>
      <c r="E19" s="48" t="str">
        <f>IFERROR(ROUND(C19/D19*10,1),"")</f>
        <v/>
      </c>
      <c r="F19" s="43">
        <f>IFERROR(RANK(C19,C17:C20,0),"")</f>
        <v>1</v>
      </c>
    </row>
    <row r="20" spans="1:6" ht="21.75" customHeight="1">
      <c r="A20" s="133" t="s">
        <v>103</v>
      </c>
      <c r="B20" s="96" t="s">
        <v>297</v>
      </c>
      <c r="C20" s="95">
        <f>COUNTIF('📝 DATA ENTRY'!GF6:GF205,"JSW Paints")</f>
        <v>0</v>
      </c>
      <c r="D20" s="28">
        <f>MAX(C17:C20)</f>
        <v>0</v>
      </c>
      <c r="E20" s="48" t="str">
        <f>IFERROR(ROUND(C20/D20*10,1),"")</f>
        <v/>
      </c>
      <c r="F20" s="43">
        <f>IFERROR(RANK(C20,C17:C20,0),"")</f>
        <v>1</v>
      </c>
    </row>
    <row r="22" spans="1:6" ht="21.75" customHeight="1">
      <c r="A22" s="194" t="s">
        <v>449</v>
      </c>
      <c r="B22" s="194"/>
      <c r="C22" s="194"/>
      <c r="D22" s="194"/>
      <c r="E22" s="194"/>
      <c r="F22" s="194"/>
    </row>
    <row r="23" spans="1:6" ht="21.75" customHeight="1">
      <c r="A23" s="125" t="s">
        <v>104</v>
      </c>
      <c r="B23" s="87" t="s">
        <v>294</v>
      </c>
      <c r="C23" s="88">
        <f>COUNTIF('📝 DATA ENTRY'!GG6:GG205,"Asian Paints")</f>
        <v>0</v>
      </c>
      <c r="D23" s="28">
        <f>MAX(C23:C26)</f>
        <v>0</v>
      </c>
      <c r="E23" s="48" t="str">
        <f>IFERROR(ROUND(C23/D23*10,1),"")</f>
        <v/>
      </c>
      <c r="F23" s="43">
        <f>IFERROR(RANK(C23,C23:C26,0),"")</f>
        <v>1</v>
      </c>
    </row>
    <row r="24" spans="1:6" ht="21.75" customHeight="1">
      <c r="A24" s="133" t="s">
        <v>104</v>
      </c>
      <c r="B24" s="94" t="s">
        <v>295</v>
      </c>
      <c r="C24" s="95">
        <f>COUNTIF('📝 DATA ENTRY'!GG6:GG205,"Birla Opus")</f>
        <v>0</v>
      </c>
      <c r="D24" s="28">
        <f>MAX(C23:C26)</f>
        <v>0</v>
      </c>
      <c r="E24" s="48" t="str">
        <f>IFERROR(ROUND(C24/D24*10,1),"")</f>
        <v/>
      </c>
      <c r="F24" s="43">
        <f>IFERROR(RANK(C24,C23:C26,0),"")</f>
        <v>1</v>
      </c>
    </row>
    <row r="25" spans="1:6" ht="21.75" customHeight="1">
      <c r="A25" s="125" t="s">
        <v>104</v>
      </c>
      <c r="B25" s="92" t="s">
        <v>296</v>
      </c>
      <c r="C25" s="88">
        <f>COUNTIF('📝 DATA ENTRY'!GG6:GG205,"Dulux Paints")</f>
        <v>0</v>
      </c>
      <c r="D25" s="28">
        <f>MAX(C23:C26)</f>
        <v>0</v>
      </c>
      <c r="E25" s="48" t="str">
        <f>IFERROR(ROUND(C25/D25*10,1),"")</f>
        <v/>
      </c>
      <c r="F25" s="43">
        <f>IFERROR(RANK(C25,C23:C26,0),"")</f>
        <v>1</v>
      </c>
    </row>
    <row r="26" spans="1:6" ht="21.75" customHeight="1">
      <c r="A26" s="133" t="s">
        <v>104</v>
      </c>
      <c r="B26" s="96" t="s">
        <v>297</v>
      </c>
      <c r="C26" s="95">
        <f>COUNTIF('📝 DATA ENTRY'!GG6:GG205,"JSW Paints")</f>
        <v>0</v>
      </c>
      <c r="D26" s="28">
        <f>MAX(C23:C26)</f>
        <v>0</v>
      </c>
      <c r="E26" s="48" t="str">
        <f>IFERROR(ROUND(C26/D26*10,1),"")</f>
        <v/>
      </c>
      <c r="F26" s="43">
        <f>IFERROR(RANK(C26,C23:C26,0),"")</f>
        <v>1</v>
      </c>
    </row>
    <row r="28" spans="1:6" ht="21.75" customHeight="1">
      <c r="A28" s="194" t="s">
        <v>450</v>
      </c>
      <c r="B28" s="194"/>
      <c r="C28" s="194"/>
      <c r="D28" s="194"/>
      <c r="E28" s="194"/>
      <c r="F28" s="194"/>
    </row>
    <row r="29" spans="1:6" ht="21.75" customHeight="1">
      <c r="A29" s="125" t="s">
        <v>105</v>
      </c>
      <c r="B29" s="87" t="s">
        <v>294</v>
      </c>
      <c r="C29" s="88">
        <f>COUNTIF('📝 DATA ENTRY'!GH6:GH205,"Asian Paints")</f>
        <v>0</v>
      </c>
      <c r="D29" s="28">
        <f>MAX(C29:C32)</f>
        <v>0</v>
      </c>
      <c r="E29" s="48" t="str">
        <f>IFERROR(ROUND(C29/D29*10,1),"")</f>
        <v/>
      </c>
      <c r="F29" s="43">
        <f>IFERROR(RANK(C29,C29:C32,0),"")</f>
        <v>1</v>
      </c>
    </row>
    <row r="30" spans="1:6" ht="21.75" customHeight="1">
      <c r="A30" s="133" t="s">
        <v>105</v>
      </c>
      <c r="B30" s="94" t="s">
        <v>295</v>
      </c>
      <c r="C30" s="95">
        <f>COUNTIF('📝 DATA ENTRY'!GH6:GH205,"Birla Opus")</f>
        <v>0</v>
      </c>
      <c r="D30" s="28">
        <f>MAX(C29:C32)</f>
        <v>0</v>
      </c>
      <c r="E30" s="48" t="str">
        <f>IFERROR(ROUND(C30/D30*10,1),"")</f>
        <v/>
      </c>
      <c r="F30" s="43">
        <f>IFERROR(RANK(C30,C29:C32,0),"")</f>
        <v>1</v>
      </c>
    </row>
    <row r="31" spans="1:6" ht="21.75" customHeight="1">
      <c r="A31" s="125" t="s">
        <v>105</v>
      </c>
      <c r="B31" s="92" t="s">
        <v>296</v>
      </c>
      <c r="C31" s="88">
        <f>COUNTIF('📝 DATA ENTRY'!GH6:GH205,"Dulux Paints")</f>
        <v>0</v>
      </c>
      <c r="D31" s="28">
        <f>MAX(C29:C32)</f>
        <v>0</v>
      </c>
      <c r="E31" s="48" t="str">
        <f>IFERROR(ROUND(C31/D31*10,1),"")</f>
        <v/>
      </c>
      <c r="F31" s="43">
        <f>IFERROR(RANK(C31,C29:C32,0),"")</f>
        <v>1</v>
      </c>
    </row>
    <row r="32" spans="1:6" ht="21.75" customHeight="1">
      <c r="A32" s="133" t="s">
        <v>105</v>
      </c>
      <c r="B32" s="96" t="s">
        <v>297</v>
      </c>
      <c r="C32" s="95">
        <f>COUNTIF('📝 DATA ENTRY'!GH6:GH205,"JSW Paints")</f>
        <v>0</v>
      </c>
      <c r="D32" s="28">
        <f>MAX(C29:C32)</f>
        <v>0</v>
      </c>
      <c r="E32" s="48" t="str">
        <f>IFERROR(ROUND(C32/D32*10,1),"")</f>
        <v/>
      </c>
      <c r="F32" s="43">
        <f>IFERROR(RANK(C32,C29:C32,0),"")</f>
        <v>1</v>
      </c>
    </row>
    <row r="34" spans="1:6" ht="21.75" customHeight="1">
      <c r="A34" s="194" t="s">
        <v>451</v>
      </c>
      <c r="B34" s="194"/>
      <c r="C34" s="194"/>
      <c r="D34" s="194"/>
      <c r="E34" s="194"/>
      <c r="F34" s="194"/>
    </row>
    <row r="35" spans="1:6" ht="21.75" customHeight="1">
      <c r="A35" s="125" t="s">
        <v>106</v>
      </c>
      <c r="B35" s="87" t="s">
        <v>294</v>
      </c>
      <c r="C35" s="88">
        <f>COUNTIF('📝 DATA ENTRY'!GI6:GI205,"Asian Paints")</f>
        <v>0</v>
      </c>
      <c r="D35" s="28">
        <f>MAX(C35:C38)</f>
        <v>0</v>
      </c>
      <c r="E35" s="48" t="str">
        <f>IFERROR(ROUND(C35/D35*10,1),"")</f>
        <v/>
      </c>
      <c r="F35" s="43">
        <f>IFERROR(RANK(C35,C35:C38,0),"")</f>
        <v>1</v>
      </c>
    </row>
    <row r="36" spans="1:6" ht="21.75" customHeight="1">
      <c r="A36" s="133" t="s">
        <v>106</v>
      </c>
      <c r="B36" s="94" t="s">
        <v>295</v>
      </c>
      <c r="C36" s="95">
        <f>COUNTIF('📝 DATA ENTRY'!GI6:GI205,"Birla Opus")</f>
        <v>0</v>
      </c>
      <c r="D36" s="28">
        <f>MAX(C35:C38)</f>
        <v>0</v>
      </c>
      <c r="E36" s="48" t="str">
        <f>IFERROR(ROUND(C36/D36*10,1),"")</f>
        <v/>
      </c>
      <c r="F36" s="43">
        <f>IFERROR(RANK(C36,C35:C38,0),"")</f>
        <v>1</v>
      </c>
    </row>
    <row r="37" spans="1:6" ht="21.75" customHeight="1">
      <c r="A37" s="125" t="s">
        <v>106</v>
      </c>
      <c r="B37" s="92" t="s">
        <v>296</v>
      </c>
      <c r="C37" s="88">
        <f>COUNTIF('📝 DATA ENTRY'!GI6:GI205,"Dulux Paints")</f>
        <v>0</v>
      </c>
      <c r="D37" s="28">
        <f>MAX(C35:C38)</f>
        <v>0</v>
      </c>
      <c r="E37" s="48" t="str">
        <f>IFERROR(ROUND(C37/D37*10,1),"")</f>
        <v/>
      </c>
      <c r="F37" s="43">
        <f>IFERROR(RANK(C37,C35:C38,0),"")</f>
        <v>1</v>
      </c>
    </row>
    <row r="38" spans="1:6" ht="21.75" customHeight="1">
      <c r="A38" s="133" t="s">
        <v>106</v>
      </c>
      <c r="B38" s="96" t="s">
        <v>297</v>
      </c>
      <c r="C38" s="95">
        <f>COUNTIF('📝 DATA ENTRY'!GI6:GI205,"JSW Paints")</f>
        <v>0</v>
      </c>
      <c r="D38" s="28">
        <f>MAX(C35:C38)</f>
        <v>0</v>
      </c>
      <c r="E38" s="48" t="str">
        <f>IFERROR(ROUND(C38/D38*10,1),"")</f>
        <v/>
      </c>
      <c r="F38" s="43">
        <f>IFERROR(RANK(C38,C35:C38,0),"")</f>
        <v>1</v>
      </c>
    </row>
    <row r="40" spans="1:6" ht="21.75" customHeight="1">
      <c r="A40" s="194" t="s">
        <v>452</v>
      </c>
      <c r="B40" s="194"/>
      <c r="C40" s="194"/>
      <c r="D40" s="194"/>
      <c r="E40" s="194"/>
      <c r="F40" s="194"/>
    </row>
    <row r="41" spans="1:6" ht="21.75" customHeight="1">
      <c r="A41" s="125" t="s">
        <v>107</v>
      </c>
      <c r="B41" s="87" t="s">
        <v>294</v>
      </c>
      <c r="C41" s="88">
        <f>COUNTIF('📝 DATA ENTRY'!GJ6:GJ205,"Asian Paints")</f>
        <v>0</v>
      </c>
      <c r="D41" s="28">
        <f>MAX(C41:C44)</f>
        <v>0</v>
      </c>
      <c r="E41" s="48" t="str">
        <f>IFERROR(ROUND(C41/D41*10,1),"")</f>
        <v/>
      </c>
      <c r="F41" s="43">
        <f>IFERROR(RANK(C41,C41:C44,0),"")</f>
        <v>1</v>
      </c>
    </row>
    <row r="42" spans="1:6" ht="21.75" customHeight="1">
      <c r="A42" s="133" t="s">
        <v>107</v>
      </c>
      <c r="B42" s="94" t="s">
        <v>295</v>
      </c>
      <c r="C42" s="95">
        <f>COUNTIF('📝 DATA ENTRY'!GJ6:GJ205,"Birla Opus")</f>
        <v>0</v>
      </c>
      <c r="D42" s="28">
        <f>MAX(C41:C44)</f>
        <v>0</v>
      </c>
      <c r="E42" s="48" t="str">
        <f>IFERROR(ROUND(C42/D42*10,1),"")</f>
        <v/>
      </c>
      <c r="F42" s="43">
        <f>IFERROR(RANK(C42,C41:C44,0),"")</f>
        <v>1</v>
      </c>
    </row>
    <row r="43" spans="1:6" ht="21.75" customHeight="1">
      <c r="A43" s="125" t="s">
        <v>107</v>
      </c>
      <c r="B43" s="92" t="s">
        <v>296</v>
      </c>
      <c r="C43" s="88">
        <f>COUNTIF('📝 DATA ENTRY'!GJ6:GJ205,"Dulux Paints")</f>
        <v>0</v>
      </c>
      <c r="D43" s="28">
        <f>MAX(C41:C44)</f>
        <v>0</v>
      </c>
      <c r="E43" s="48" t="str">
        <f>IFERROR(ROUND(C43/D43*10,1),"")</f>
        <v/>
      </c>
      <c r="F43" s="43">
        <f>IFERROR(RANK(C43,C41:C44,0),"")</f>
        <v>1</v>
      </c>
    </row>
    <row r="44" spans="1:6" ht="21.75" customHeight="1">
      <c r="A44" s="133" t="s">
        <v>107</v>
      </c>
      <c r="B44" s="96" t="s">
        <v>297</v>
      </c>
      <c r="C44" s="95">
        <f>COUNTIF('📝 DATA ENTRY'!GJ6:GJ205,"JSW Paints")</f>
        <v>0</v>
      </c>
      <c r="D44" s="28">
        <f>MAX(C41:C44)</f>
        <v>0</v>
      </c>
      <c r="E44" s="48" t="str">
        <f>IFERROR(ROUND(C44/D44*10,1),"")</f>
        <v/>
      </c>
      <c r="F44" s="43">
        <f>IFERROR(RANK(C44,C41:C44,0),"")</f>
        <v>1</v>
      </c>
    </row>
    <row r="46" spans="1:6" ht="21.75" customHeight="1">
      <c r="A46" s="194" t="s">
        <v>453</v>
      </c>
      <c r="B46" s="194"/>
      <c r="C46" s="194"/>
      <c r="D46" s="194"/>
      <c r="E46" s="194"/>
      <c r="F46" s="194"/>
    </row>
    <row r="47" spans="1:6" ht="21.75" customHeight="1">
      <c r="A47" s="125" t="s">
        <v>108</v>
      </c>
      <c r="B47" s="87" t="s">
        <v>294</v>
      </c>
      <c r="C47" s="88">
        <f>COUNTIF('📝 DATA ENTRY'!GK6:GK205,"Asian Paints")</f>
        <v>0</v>
      </c>
      <c r="D47" s="28">
        <f>MAX(C47:C50)</f>
        <v>0</v>
      </c>
      <c r="E47" s="48" t="str">
        <f>IFERROR(ROUND(C47/D47*10,1),"")</f>
        <v/>
      </c>
      <c r="F47" s="43">
        <f>IFERROR(RANK(C47,C47:C50,0),"")</f>
        <v>1</v>
      </c>
    </row>
    <row r="48" spans="1:6" ht="21.75" customHeight="1">
      <c r="A48" s="133" t="s">
        <v>108</v>
      </c>
      <c r="B48" s="94" t="s">
        <v>295</v>
      </c>
      <c r="C48" s="95">
        <f>COUNTIF('📝 DATA ENTRY'!GK6:GK205,"Birla Opus")</f>
        <v>0</v>
      </c>
      <c r="D48" s="28">
        <f>MAX(C47:C50)</f>
        <v>0</v>
      </c>
      <c r="E48" s="48" t="str">
        <f>IFERROR(ROUND(C48/D48*10,1),"")</f>
        <v/>
      </c>
      <c r="F48" s="43">
        <f>IFERROR(RANK(C48,C47:C50,0),"")</f>
        <v>1</v>
      </c>
    </row>
    <row r="49" spans="1:6" ht="21.75" customHeight="1">
      <c r="A49" s="125" t="s">
        <v>108</v>
      </c>
      <c r="B49" s="92" t="s">
        <v>296</v>
      </c>
      <c r="C49" s="88">
        <f>COUNTIF('📝 DATA ENTRY'!GK6:GK205,"Dulux Paints")</f>
        <v>0</v>
      </c>
      <c r="D49" s="28">
        <f>MAX(C47:C50)</f>
        <v>0</v>
      </c>
      <c r="E49" s="48" t="str">
        <f>IFERROR(ROUND(C49/D49*10,1),"")</f>
        <v/>
      </c>
      <c r="F49" s="43">
        <f>IFERROR(RANK(C49,C47:C50,0),"")</f>
        <v>1</v>
      </c>
    </row>
    <row r="50" spans="1:6" ht="21.75" customHeight="1">
      <c r="A50" s="133" t="s">
        <v>108</v>
      </c>
      <c r="B50" s="96" t="s">
        <v>297</v>
      </c>
      <c r="C50" s="95">
        <f>COUNTIF('📝 DATA ENTRY'!GK6:GK205,"JSW Paints")</f>
        <v>0</v>
      </c>
      <c r="D50" s="28">
        <f>MAX(C47:C50)</f>
        <v>0</v>
      </c>
      <c r="E50" s="48" t="str">
        <f>IFERROR(ROUND(C50/D50*10,1),"")</f>
        <v/>
      </c>
      <c r="F50" s="43">
        <f>IFERROR(RANK(C50,C47:C50,0),"")</f>
        <v>1</v>
      </c>
    </row>
    <row r="54" spans="1:6" ht="18.5">
      <c r="A54" s="145" t="s">
        <v>468</v>
      </c>
      <c r="B54" s="140" t="s">
        <v>294</v>
      </c>
      <c r="C54" s="144">
        <f>IFERROR(ROUND(AVERAGE(C5,C11,C17,C23,C29,C35,C41,C47),1),"")</f>
        <v>0</v>
      </c>
    </row>
    <row r="55" spans="1:6">
      <c r="B55" s="141" t="s">
        <v>295</v>
      </c>
      <c r="C55" s="144">
        <f>IFERROR(ROUND(AVERAGE(C6,C12,C18,C24,C30,C36,C42,C48),1),"")</f>
        <v>0</v>
      </c>
    </row>
    <row r="56" spans="1:6">
      <c r="B56" s="142" t="s">
        <v>296</v>
      </c>
      <c r="C56" s="144">
        <f t="shared" ref="C56:C57" si="0">IFERROR(ROUND(AVERAGE(C7,C13,C19,C25,C31,C37,C43,C49),1),"")</f>
        <v>0</v>
      </c>
    </row>
    <row r="57" spans="1:6">
      <c r="B57" s="143" t="s">
        <v>297</v>
      </c>
      <c r="C57" s="144">
        <f t="shared" si="0"/>
        <v>0</v>
      </c>
    </row>
  </sheetData>
  <mergeCells count="10">
    <mergeCell ref="A22:F22"/>
    <mergeCell ref="A28:F28"/>
    <mergeCell ref="A34:F34"/>
    <mergeCell ref="A40:F40"/>
    <mergeCell ref="A46:F46"/>
    <mergeCell ref="A1:H1"/>
    <mergeCell ref="A2:H2"/>
    <mergeCell ref="A4:F4"/>
    <mergeCell ref="A10:F10"/>
    <mergeCell ref="A16:F16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3"/>
  <sheetViews>
    <sheetView showGridLines="0" tabSelected="1" zoomScaleNormal="100" workbookViewId="0">
      <pane ySplit="3" topLeftCell="A4" activePane="bottomLeft" state="frozen"/>
      <selection pane="bottomLeft" activeCell="I7" sqref="I7"/>
    </sheetView>
  </sheetViews>
  <sheetFormatPr defaultColWidth="8.6328125" defaultRowHeight="14.5"/>
  <cols>
    <col min="1" max="1" width="20" customWidth="1"/>
    <col min="2" max="7" width="16" customWidth="1"/>
    <col min="8" max="8" width="30" customWidth="1"/>
    <col min="9" max="9" width="16" customWidth="1"/>
  </cols>
  <sheetData>
    <row r="1" spans="1:10" ht="33.75" customHeight="1">
      <c r="A1" s="146" t="s">
        <v>454</v>
      </c>
      <c r="B1" s="146"/>
      <c r="C1" s="146"/>
      <c r="D1" s="146"/>
      <c r="E1" s="146"/>
      <c r="F1" s="146"/>
      <c r="G1" s="146"/>
      <c r="H1" s="146"/>
      <c r="I1" s="146"/>
      <c r="J1" s="146"/>
    </row>
    <row r="2" spans="1:10" ht="15" customHeight="1">
      <c r="A2" s="147" t="s">
        <v>466</v>
      </c>
      <c r="B2" s="147"/>
      <c r="C2" s="147"/>
      <c r="D2" s="147"/>
      <c r="E2" s="147"/>
      <c r="F2" s="147"/>
      <c r="G2" s="147"/>
      <c r="H2" s="147"/>
      <c r="I2" s="147"/>
      <c r="J2" s="147"/>
    </row>
    <row r="4" spans="1:10" ht="43.5" customHeight="1">
      <c r="A4" s="97" t="s">
        <v>427</v>
      </c>
      <c r="B4" s="22" t="s">
        <v>455</v>
      </c>
      <c r="C4" s="98" t="s">
        <v>456</v>
      </c>
      <c r="D4" s="99" t="s">
        <v>457</v>
      </c>
      <c r="E4" s="100" t="s">
        <v>458</v>
      </c>
      <c r="F4" s="101" t="s">
        <v>459</v>
      </c>
      <c r="G4" s="21" t="s">
        <v>460</v>
      </c>
      <c r="H4" s="21" t="s">
        <v>461</v>
      </c>
      <c r="I4" s="21" t="s">
        <v>462</v>
      </c>
    </row>
    <row r="5" spans="1:10" ht="30" customHeight="1">
      <c r="A5" s="102" t="s">
        <v>294</v>
      </c>
      <c r="B5" s="103" t="str">
        <f>'📊 PEEF Analysis'!D32</f>
        <v/>
      </c>
      <c r="C5" s="103">
        <f>'🏆 Benchmarking'!D44</f>
        <v>8.5</v>
      </c>
      <c r="D5" s="104">
        <f>'📈 Ranking Analysis'!C36</f>
        <v>0</v>
      </c>
      <c r="E5" s="104">
        <f>'🔢 Mention Frequency'!C54</f>
        <v>0</v>
      </c>
      <c r="F5" s="59" t="str">
        <f>IFERROR(ROUND(B5*0.4+C5*0.4+D5*0.1+E5*0.1,1),"")</f>
        <v/>
      </c>
      <c r="G5" s="105" t="str">
        <f>IFERROR(RANK(F5,F5:F8,0),"")</f>
        <v/>
      </c>
      <c r="H5" s="106" t="str">
        <f>IF(F5="","",IF(F5&gt;=9,"🏆 Best-in-Class",IF(F5&gt;=8,"✅ Strong Packaging",IF(F5&gt;=7,"⚠️ Competitive — Improve",IF(F5&gt;=6,"🔴 Needs Work","❌ Weak")))))</f>
        <v/>
      </c>
      <c r="I5" s="107">
        <f>COUNTA('📝 DATA ENTRY'!B6:B205)</f>
        <v>0</v>
      </c>
    </row>
    <row r="6" spans="1:10" ht="30" customHeight="1">
      <c r="A6" s="108" t="s">
        <v>295</v>
      </c>
      <c r="B6" s="109" t="str">
        <f>'📊 PEEF Analysis'!E32</f>
        <v/>
      </c>
      <c r="C6" s="109" t="str">
        <f>'🏆 Benchmarking'!E44</f>
        <v/>
      </c>
      <c r="D6" s="104">
        <f>'📈 Ranking Analysis'!C37</f>
        <v>0</v>
      </c>
      <c r="E6" s="104">
        <f>'🔢 Mention Frequency'!C55</f>
        <v>0</v>
      </c>
      <c r="F6" s="60" t="str">
        <f>IFERROR(ROUND(B6*0.4+C6*0.4+D6*0.1+E6*0.1,1),"")</f>
        <v/>
      </c>
      <c r="G6" s="110" t="str">
        <f>IFERROR(RANK(F6,F5:F8,0),"")</f>
        <v/>
      </c>
      <c r="H6" s="111" t="str">
        <f>IF(F6="","",IF(F6&gt;=9,"🏆 Best-in-Class",IF(F6&gt;=8,"✅ Strong Packaging",IF(F6&gt;=7,"⚠️ Competitive — Improve",IF(F6&gt;=6,"🔴 Needs Work","❌ Weak")))))</f>
        <v/>
      </c>
      <c r="I6" s="112">
        <f>COUNTA('📝 DATA ENTRY'!B6:B205)</f>
        <v>0</v>
      </c>
    </row>
    <row r="7" spans="1:10" ht="30" customHeight="1">
      <c r="A7" s="113" t="s">
        <v>296</v>
      </c>
      <c r="B7" s="114" t="str">
        <f>'📊 PEEF Analysis'!F32</f>
        <v/>
      </c>
      <c r="C7" s="114" t="str">
        <f>'🏆 Benchmarking'!F44</f>
        <v/>
      </c>
      <c r="D7" s="104">
        <f>'📈 Ranking Analysis'!C38</f>
        <v>0</v>
      </c>
      <c r="E7" s="104">
        <f>'🔢 Mention Frequency'!C56</f>
        <v>0</v>
      </c>
      <c r="F7" s="61" t="str">
        <f>IFERROR(ROUND(B7*0.4+C7*0.4+D7*0.1+E7*0.1,1),"")</f>
        <v/>
      </c>
      <c r="G7" s="115" t="str">
        <f>IFERROR(RANK(F7,F5:F8,0),"")</f>
        <v/>
      </c>
      <c r="H7" s="116" t="str">
        <f>IF(F7="","",IF(F7&gt;=9,"🏆 Best-in-Class",IF(F7&gt;=8,"✅ Strong Packaging",IF(F7&gt;=7,"⚠️ Competitive — Improve",IF(F7&gt;=6,"🔴 Needs Work","❌ Weak")))))</f>
        <v/>
      </c>
      <c r="I7" s="117">
        <f>COUNTA('📝 DATA ENTRY'!B6:B205)</f>
        <v>0</v>
      </c>
    </row>
    <row r="8" spans="1:10" ht="30" customHeight="1">
      <c r="A8" s="118" t="s">
        <v>297</v>
      </c>
      <c r="B8" s="119" t="str">
        <f>'📊 PEEF Analysis'!G32</f>
        <v/>
      </c>
      <c r="C8" s="119" t="str">
        <f>'🏆 Benchmarking'!G44</f>
        <v/>
      </c>
      <c r="D8" s="104">
        <f>'📈 Ranking Analysis'!C39</f>
        <v>0</v>
      </c>
      <c r="E8" s="104">
        <f>'🔢 Mention Frequency'!C57</f>
        <v>0</v>
      </c>
      <c r="F8" s="62" t="str">
        <f>IFERROR(ROUND(B8*0.4+C8*0.4+D8*0.1+E8*0.1,1),"")</f>
        <v/>
      </c>
      <c r="G8" s="120" t="str">
        <f>IFERROR(RANK(F8,F5:F8,0),"")</f>
        <v/>
      </c>
      <c r="H8" s="121" t="str">
        <f>IF(F8="","",IF(F8&gt;=9,"🏆 Best-in-Class",IF(F8&gt;=8,"✅ Strong Packaging",IF(F8&gt;=7,"⚠️ Competitive — Improve",IF(F8&gt;=6,"🔴 Needs Work","❌ Weak")))))</f>
        <v/>
      </c>
      <c r="I8" s="122">
        <f>COUNTA('📝 DATA ENTRY'!B6:B205)</f>
        <v>0</v>
      </c>
    </row>
    <row r="10" spans="1:10" ht="31.5" customHeight="1">
      <c r="A10" s="147" t="s">
        <v>463</v>
      </c>
      <c r="B10" s="147"/>
      <c r="C10" s="147"/>
      <c r="D10" s="147"/>
      <c r="E10" s="147"/>
      <c r="F10" s="147"/>
      <c r="G10" s="147"/>
      <c r="H10" s="147"/>
      <c r="I10" s="147"/>
      <c r="J10" s="147"/>
    </row>
    <row r="12" spans="1:10" ht="24" customHeight="1">
      <c r="A12" s="148" t="s">
        <v>464</v>
      </c>
      <c r="B12" s="148"/>
      <c r="C12" s="148"/>
      <c r="D12" s="148"/>
      <c r="E12" s="148"/>
      <c r="F12" s="148"/>
      <c r="G12" s="148"/>
      <c r="H12" s="148"/>
      <c r="I12" s="148"/>
      <c r="J12" s="148"/>
    </row>
    <row r="13" spans="1:10" ht="21.75" customHeight="1">
      <c r="A13" s="149" t="s">
        <v>465</v>
      </c>
      <c r="B13" s="149"/>
      <c r="C13" s="149"/>
      <c r="D13" s="149"/>
      <c r="E13" s="149"/>
      <c r="F13" s="149"/>
      <c r="G13" s="149"/>
      <c r="H13" s="149"/>
      <c r="I13" s="149"/>
      <c r="J13" s="149"/>
    </row>
  </sheetData>
  <mergeCells count="5">
    <mergeCell ref="A1:J1"/>
    <mergeCell ref="A2:J2"/>
    <mergeCell ref="A10:J10"/>
    <mergeCell ref="A12:J12"/>
    <mergeCell ref="A13:J13"/>
  </mergeCells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da9eb605-c732-4123-8b1f-0dd9db947871}" enabled="1" method="Privileged" siteId="{aab2e961-1f45-4717-9a42-8f87802af9b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📋 HOW TO USE</vt:lpstr>
      <vt:lpstr>📝 DATA ENTRY</vt:lpstr>
      <vt:lpstr>📊 PEEF Analysis</vt:lpstr>
      <vt:lpstr>🏆 Benchmarking</vt:lpstr>
      <vt:lpstr>📈 Ranking Analysis</vt:lpstr>
      <vt:lpstr>🔢 Mention Frequency</vt:lpstr>
      <vt:lpstr>🎯 Master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(JSW) Ramakant Paul</cp:lastModifiedBy>
  <cp:revision>0</cp:revision>
  <dcterms:created xsi:type="dcterms:W3CDTF">2026-06-03T05:08:16Z</dcterms:created>
  <dcterms:modified xsi:type="dcterms:W3CDTF">2026-06-15T09:15:11Z</dcterms:modified>
  <dc:language>en-US</dc:language>
</cp:coreProperties>
</file>