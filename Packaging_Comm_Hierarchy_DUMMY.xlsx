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aulR\Downloads\"/>
    </mc:Choice>
  </mc:AlternateContent>
  <xr:revisionPtr revIDLastSave="0" documentId="13_ncr:1_{3E41FAE2-5620-4F06-A740-1F0D8DC58D90}" xr6:coauthVersionLast="47" xr6:coauthVersionMax="47" xr10:uidLastSave="{00000000-0000-0000-0000-000000000000}"/>
  <bookViews>
    <workbookView xWindow="-110" yWindow="-110" windowWidth="19420" windowHeight="11500" tabRatio="500" activeTab="1" xr2:uid="{00000000-000D-0000-FFFF-FFFF00000000}"/>
  </bookViews>
  <sheets>
    <sheet name="📋 Data Entry" sheetId="1" r:id="rId1"/>
    <sheet name="📊 Scorecard" sheetId="2" r:id="rId2"/>
    <sheet name="📈 Brand Summary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5" i="3" l="1"/>
  <c r="G9" i="3"/>
  <c r="F9" i="3"/>
  <c r="E9" i="3"/>
  <c r="D9" i="3"/>
  <c r="C9" i="3"/>
  <c r="N104" i="2"/>
  <c r="M104" i="2"/>
  <c r="L104" i="2"/>
  <c r="I104" i="2"/>
  <c r="H104" i="2"/>
  <c r="G104" i="2"/>
  <c r="F104" i="2"/>
  <c r="E104" i="2"/>
  <c r="J104" i="2" s="1"/>
  <c r="K104" i="2" s="1"/>
  <c r="D104" i="2"/>
  <c r="C104" i="2"/>
  <c r="B104" i="2"/>
  <c r="N103" i="2"/>
  <c r="M103" i="2"/>
  <c r="L103" i="2"/>
  <c r="I103" i="2"/>
  <c r="H103" i="2"/>
  <c r="G103" i="2"/>
  <c r="F103" i="2"/>
  <c r="E103" i="2"/>
  <c r="J103" i="2" s="1"/>
  <c r="K103" i="2" s="1"/>
  <c r="D103" i="2"/>
  <c r="C103" i="2"/>
  <c r="B103" i="2"/>
  <c r="N102" i="2"/>
  <c r="M102" i="2"/>
  <c r="L102" i="2"/>
  <c r="I102" i="2"/>
  <c r="H102" i="2"/>
  <c r="G102" i="2"/>
  <c r="F102" i="2"/>
  <c r="E102" i="2"/>
  <c r="J102" i="2" s="1"/>
  <c r="K102" i="2" s="1"/>
  <c r="D102" i="2"/>
  <c r="C102" i="2"/>
  <c r="B102" i="2"/>
  <c r="N101" i="2"/>
  <c r="M101" i="2"/>
  <c r="L101" i="2"/>
  <c r="I101" i="2"/>
  <c r="H101" i="2"/>
  <c r="G101" i="2"/>
  <c r="F101" i="2"/>
  <c r="E101" i="2"/>
  <c r="J101" i="2" s="1"/>
  <c r="K101" i="2" s="1"/>
  <c r="D101" i="2"/>
  <c r="C101" i="2"/>
  <c r="B101" i="2"/>
  <c r="N100" i="2"/>
  <c r="M100" i="2"/>
  <c r="L100" i="2"/>
  <c r="J100" i="2"/>
  <c r="K100" i="2" s="1"/>
  <c r="I100" i="2"/>
  <c r="H100" i="2"/>
  <c r="G100" i="2"/>
  <c r="F100" i="2"/>
  <c r="E100" i="2"/>
  <c r="D100" i="2"/>
  <c r="C100" i="2"/>
  <c r="B100" i="2"/>
  <c r="N99" i="2"/>
  <c r="M99" i="2"/>
  <c r="L99" i="2"/>
  <c r="I99" i="2"/>
  <c r="H99" i="2"/>
  <c r="G99" i="2"/>
  <c r="F99" i="2"/>
  <c r="E99" i="2"/>
  <c r="J99" i="2" s="1"/>
  <c r="K99" i="2" s="1"/>
  <c r="D99" i="2"/>
  <c r="C99" i="2"/>
  <c r="B99" i="2"/>
  <c r="N98" i="2"/>
  <c r="M98" i="2"/>
  <c r="L98" i="2"/>
  <c r="I98" i="2"/>
  <c r="H98" i="2"/>
  <c r="G98" i="2"/>
  <c r="F98" i="2"/>
  <c r="E98" i="2"/>
  <c r="J98" i="2" s="1"/>
  <c r="K98" i="2" s="1"/>
  <c r="D98" i="2"/>
  <c r="C98" i="2"/>
  <c r="B98" i="2"/>
  <c r="N97" i="2"/>
  <c r="M97" i="2"/>
  <c r="L97" i="2"/>
  <c r="I97" i="2"/>
  <c r="H97" i="2"/>
  <c r="G97" i="2"/>
  <c r="F97" i="2"/>
  <c r="E97" i="2"/>
  <c r="J97" i="2" s="1"/>
  <c r="K97" i="2" s="1"/>
  <c r="D97" i="2"/>
  <c r="C97" i="2"/>
  <c r="B97" i="2"/>
  <c r="N96" i="2"/>
  <c r="M96" i="2"/>
  <c r="L96" i="2"/>
  <c r="I96" i="2"/>
  <c r="H96" i="2"/>
  <c r="G96" i="2"/>
  <c r="F96" i="2"/>
  <c r="E96" i="2"/>
  <c r="J96" i="2" s="1"/>
  <c r="K96" i="2" s="1"/>
  <c r="D96" i="2"/>
  <c r="C96" i="2"/>
  <c r="B96" i="2"/>
  <c r="N95" i="2"/>
  <c r="M95" i="2"/>
  <c r="L95" i="2"/>
  <c r="I95" i="2"/>
  <c r="H95" i="2"/>
  <c r="G95" i="2"/>
  <c r="F95" i="2"/>
  <c r="E95" i="2"/>
  <c r="J95" i="2" s="1"/>
  <c r="K95" i="2" s="1"/>
  <c r="D95" i="2"/>
  <c r="C95" i="2"/>
  <c r="B95" i="2"/>
  <c r="N94" i="2"/>
  <c r="M94" i="2"/>
  <c r="L94" i="2"/>
  <c r="J94" i="2"/>
  <c r="K94" i="2" s="1"/>
  <c r="I94" i="2"/>
  <c r="H94" i="2"/>
  <c r="G94" i="2"/>
  <c r="F94" i="2"/>
  <c r="E94" i="2"/>
  <c r="D94" i="2"/>
  <c r="C94" i="2"/>
  <c r="B94" i="2"/>
  <c r="N93" i="2"/>
  <c r="M93" i="2"/>
  <c r="L93" i="2"/>
  <c r="I93" i="2"/>
  <c r="H93" i="2"/>
  <c r="G93" i="2"/>
  <c r="F93" i="2"/>
  <c r="E93" i="2"/>
  <c r="J93" i="2" s="1"/>
  <c r="K93" i="2" s="1"/>
  <c r="D93" i="2"/>
  <c r="C93" i="2"/>
  <c r="B93" i="2"/>
  <c r="N92" i="2"/>
  <c r="M92" i="2"/>
  <c r="L92" i="2"/>
  <c r="I92" i="2"/>
  <c r="H92" i="2"/>
  <c r="G92" i="2"/>
  <c r="F92" i="2"/>
  <c r="E92" i="2"/>
  <c r="J92" i="2" s="1"/>
  <c r="K92" i="2" s="1"/>
  <c r="D92" i="2"/>
  <c r="C92" i="2"/>
  <c r="B92" i="2"/>
  <c r="N91" i="2"/>
  <c r="M91" i="2"/>
  <c r="L91" i="2"/>
  <c r="I91" i="2"/>
  <c r="H91" i="2"/>
  <c r="G91" i="2"/>
  <c r="F91" i="2"/>
  <c r="E91" i="2"/>
  <c r="J91" i="2" s="1"/>
  <c r="K91" i="2" s="1"/>
  <c r="D91" i="2"/>
  <c r="C91" i="2"/>
  <c r="B91" i="2"/>
  <c r="N90" i="2"/>
  <c r="M90" i="2"/>
  <c r="L90" i="2"/>
  <c r="I90" i="2"/>
  <c r="H90" i="2"/>
  <c r="G90" i="2"/>
  <c r="F90" i="2"/>
  <c r="E90" i="2"/>
  <c r="J90" i="2" s="1"/>
  <c r="K90" i="2" s="1"/>
  <c r="D90" i="2"/>
  <c r="C90" i="2"/>
  <c r="B90" i="2"/>
  <c r="N89" i="2"/>
  <c r="M89" i="2"/>
  <c r="L89" i="2"/>
  <c r="I89" i="2"/>
  <c r="H89" i="2"/>
  <c r="G89" i="2"/>
  <c r="F89" i="2"/>
  <c r="E89" i="2"/>
  <c r="J89" i="2" s="1"/>
  <c r="K89" i="2" s="1"/>
  <c r="D89" i="2"/>
  <c r="C89" i="2"/>
  <c r="B89" i="2"/>
  <c r="N88" i="2"/>
  <c r="M88" i="2"/>
  <c r="L88" i="2"/>
  <c r="J88" i="2"/>
  <c r="K88" i="2" s="1"/>
  <c r="I88" i="2"/>
  <c r="H88" i="2"/>
  <c r="G88" i="2"/>
  <c r="F88" i="2"/>
  <c r="E88" i="2"/>
  <c r="D88" i="2"/>
  <c r="C88" i="2"/>
  <c r="B88" i="2"/>
  <c r="N87" i="2"/>
  <c r="M87" i="2"/>
  <c r="L87" i="2"/>
  <c r="I87" i="2"/>
  <c r="H87" i="2"/>
  <c r="G87" i="2"/>
  <c r="F87" i="2"/>
  <c r="E87" i="2"/>
  <c r="J87" i="2" s="1"/>
  <c r="K87" i="2" s="1"/>
  <c r="D87" i="2"/>
  <c r="C87" i="2"/>
  <c r="B87" i="2"/>
  <c r="N86" i="2"/>
  <c r="M86" i="2"/>
  <c r="L86" i="2"/>
  <c r="I86" i="2"/>
  <c r="H86" i="2"/>
  <c r="G86" i="2"/>
  <c r="F86" i="2"/>
  <c r="E86" i="2"/>
  <c r="J86" i="2" s="1"/>
  <c r="K86" i="2" s="1"/>
  <c r="D86" i="2"/>
  <c r="C86" i="2"/>
  <c r="B86" i="2"/>
  <c r="N85" i="2"/>
  <c r="M85" i="2"/>
  <c r="L85" i="2"/>
  <c r="I85" i="2"/>
  <c r="H85" i="2"/>
  <c r="G85" i="2"/>
  <c r="F85" i="2"/>
  <c r="E85" i="2"/>
  <c r="J85" i="2" s="1"/>
  <c r="K85" i="2" s="1"/>
  <c r="D85" i="2"/>
  <c r="C85" i="2"/>
  <c r="B85" i="2"/>
  <c r="N84" i="2"/>
  <c r="M84" i="2"/>
  <c r="L84" i="2"/>
  <c r="I84" i="2"/>
  <c r="H84" i="2"/>
  <c r="G84" i="2"/>
  <c r="F84" i="2"/>
  <c r="E84" i="2"/>
  <c r="J84" i="2" s="1"/>
  <c r="K84" i="2" s="1"/>
  <c r="D84" i="2"/>
  <c r="C84" i="2"/>
  <c r="B84" i="2"/>
  <c r="N83" i="2"/>
  <c r="M83" i="2"/>
  <c r="L83" i="2"/>
  <c r="I83" i="2"/>
  <c r="H83" i="2"/>
  <c r="G83" i="2"/>
  <c r="F83" i="2"/>
  <c r="E83" i="2"/>
  <c r="J83" i="2" s="1"/>
  <c r="K83" i="2" s="1"/>
  <c r="D83" i="2"/>
  <c r="C83" i="2"/>
  <c r="B83" i="2"/>
  <c r="N82" i="2"/>
  <c r="M82" i="2"/>
  <c r="L82" i="2"/>
  <c r="J82" i="2"/>
  <c r="K82" i="2" s="1"/>
  <c r="I82" i="2"/>
  <c r="H82" i="2"/>
  <c r="G82" i="2"/>
  <c r="F82" i="2"/>
  <c r="E82" i="2"/>
  <c r="D82" i="2"/>
  <c r="C82" i="2"/>
  <c r="B82" i="2"/>
  <c r="N81" i="2"/>
  <c r="M81" i="2"/>
  <c r="L81" i="2"/>
  <c r="I81" i="2"/>
  <c r="H81" i="2"/>
  <c r="G81" i="2"/>
  <c r="F81" i="2"/>
  <c r="E81" i="2"/>
  <c r="J81" i="2" s="1"/>
  <c r="K81" i="2" s="1"/>
  <c r="D81" i="2"/>
  <c r="C81" i="2"/>
  <c r="B81" i="2"/>
  <c r="N80" i="2"/>
  <c r="M80" i="2"/>
  <c r="L80" i="2"/>
  <c r="I80" i="2"/>
  <c r="H80" i="2"/>
  <c r="G80" i="2"/>
  <c r="F80" i="2"/>
  <c r="E80" i="2"/>
  <c r="J80" i="2" s="1"/>
  <c r="K80" i="2" s="1"/>
  <c r="D80" i="2"/>
  <c r="C80" i="2"/>
  <c r="B80" i="2"/>
  <c r="N79" i="2"/>
  <c r="M79" i="2"/>
  <c r="L79" i="2"/>
  <c r="I79" i="2"/>
  <c r="H79" i="2"/>
  <c r="G79" i="2"/>
  <c r="F79" i="2"/>
  <c r="E79" i="2"/>
  <c r="J79" i="2" s="1"/>
  <c r="K79" i="2" s="1"/>
  <c r="D79" i="2"/>
  <c r="C79" i="2"/>
  <c r="B79" i="2"/>
  <c r="N78" i="2"/>
  <c r="M78" i="2"/>
  <c r="L78" i="2"/>
  <c r="I78" i="2"/>
  <c r="H78" i="2"/>
  <c r="G78" i="2"/>
  <c r="F78" i="2"/>
  <c r="E78" i="2"/>
  <c r="J78" i="2" s="1"/>
  <c r="K78" i="2" s="1"/>
  <c r="D78" i="2"/>
  <c r="C78" i="2"/>
  <c r="B78" i="2"/>
  <c r="N77" i="2"/>
  <c r="M77" i="2"/>
  <c r="L77" i="2"/>
  <c r="I77" i="2"/>
  <c r="H77" i="2"/>
  <c r="G77" i="2"/>
  <c r="F77" i="2"/>
  <c r="E77" i="2"/>
  <c r="J77" i="2" s="1"/>
  <c r="K77" i="2" s="1"/>
  <c r="D77" i="2"/>
  <c r="C77" i="2"/>
  <c r="B77" i="2"/>
  <c r="N76" i="2"/>
  <c r="M76" i="2"/>
  <c r="L76" i="2"/>
  <c r="J76" i="2"/>
  <c r="K76" i="2" s="1"/>
  <c r="I76" i="2"/>
  <c r="H76" i="2"/>
  <c r="G76" i="2"/>
  <c r="F76" i="2"/>
  <c r="E76" i="2"/>
  <c r="D76" i="2"/>
  <c r="C76" i="2"/>
  <c r="B76" i="2"/>
  <c r="N75" i="2"/>
  <c r="M75" i="2"/>
  <c r="L75" i="2"/>
  <c r="I75" i="2"/>
  <c r="H75" i="2"/>
  <c r="G75" i="2"/>
  <c r="F75" i="2"/>
  <c r="E75" i="2"/>
  <c r="J75" i="2" s="1"/>
  <c r="K75" i="2" s="1"/>
  <c r="D75" i="2"/>
  <c r="C75" i="2"/>
  <c r="B75" i="2"/>
  <c r="N74" i="2"/>
  <c r="M74" i="2"/>
  <c r="L74" i="2"/>
  <c r="I74" i="2"/>
  <c r="H74" i="2"/>
  <c r="G74" i="2"/>
  <c r="F74" i="2"/>
  <c r="E74" i="2"/>
  <c r="J74" i="2" s="1"/>
  <c r="K74" i="2" s="1"/>
  <c r="D74" i="2"/>
  <c r="C74" i="2"/>
  <c r="B74" i="2"/>
  <c r="N73" i="2"/>
  <c r="M73" i="2"/>
  <c r="L73" i="2"/>
  <c r="I73" i="2"/>
  <c r="H73" i="2"/>
  <c r="G73" i="2"/>
  <c r="F73" i="2"/>
  <c r="E73" i="2"/>
  <c r="J73" i="2" s="1"/>
  <c r="K73" i="2" s="1"/>
  <c r="D73" i="2"/>
  <c r="C73" i="2"/>
  <c r="B73" i="2"/>
  <c r="N72" i="2"/>
  <c r="M72" i="2"/>
  <c r="L72" i="2"/>
  <c r="I72" i="2"/>
  <c r="H72" i="2"/>
  <c r="G72" i="2"/>
  <c r="F72" i="2"/>
  <c r="E72" i="2"/>
  <c r="J72" i="2" s="1"/>
  <c r="K72" i="2" s="1"/>
  <c r="D72" i="2"/>
  <c r="C72" i="2"/>
  <c r="B72" i="2"/>
  <c r="N71" i="2"/>
  <c r="M71" i="2"/>
  <c r="L71" i="2"/>
  <c r="I71" i="2"/>
  <c r="H71" i="2"/>
  <c r="G71" i="2"/>
  <c r="F71" i="2"/>
  <c r="E71" i="2"/>
  <c r="J71" i="2" s="1"/>
  <c r="K71" i="2" s="1"/>
  <c r="D71" i="2"/>
  <c r="C71" i="2"/>
  <c r="B71" i="2"/>
  <c r="N70" i="2"/>
  <c r="M70" i="2"/>
  <c r="L70" i="2"/>
  <c r="J70" i="2"/>
  <c r="K70" i="2" s="1"/>
  <c r="I70" i="2"/>
  <c r="H70" i="2"/>
  <c r="G70" i="2"/>
  <c r="F70" i="2"/>
  <c r="E70" i="2"/>
  <c r="D70" i="2"/>
  <c r="C70" i="2"/>
  <c r="B70" i="2"/>
  <c r="N69" i="2"/>
  <c r="M69" i="2"/>
  <c r="L69" i="2"/>
  <c r="I69" i="2"/>
  <c r="H69" i="2"/>
  <c r="G69" i="2"/>
  <c r="F69" i="2"/>
  <c r="E69" i="2"/>
  <c r="J69" i="2" s="1"/>
  <c r="K69" i="2" s="1"/>
  <c r="D69" i="2"/>
  <c r="C69" i="2"/>
  <c r="B69" i="2"/>
  <c r="A69" i="2"/>
  <c r="N68" i="2"/>
  <c r="M68" i="2"/>
  <c r="L68" i="2"/>
  <c r="I68" i="2"/>
  <c r="H68" i="2"/>
  <c r="G68" i="2"/>
  <c r="F68" i="2"/>
  <c r="E68" i="2"/>
  <c r="J68" i="2" s="1"/>
  <c r="K68" i="2" s="1"/>
  <c r="D68" i="2"/>
  <c r="C68" i="2"/>
  <c r="B68" i="2"/>
  <c r="N67" i="2"/>
  <c r="M67" i="2"/>
  <c r="L67" i="2"/>
  <c r="I67" i="2"/>
  <c r="H67" i="2"/>
  <c r="G67" i="2"/>
  <c r="F67" i="2"/>
  <c r="E67" i="2"/>
  <c r="J67" i="2" s="1"/>
  <c r="K67" i="2" s="1"/>
  <c r="D67" i="2"/>
  <c r="C67" i="2"/>
  <c r="B67" i="2"/>
  <c r="N66" i="2"/>
  <c r="M66" i="2"/>
  <c r="L66" i="2"/>
  <c r="I66" i="2"/>
  <c r="H66" i="2"/>
  <c r="G66" i="2"/>
  <c r="F66" i="2"/>
  <c r="E66" i="2"/>
  <c r="J66" i="2" s="1"/>
  <c r="K66" i="2" s="1"/>
  <c r="D66" i="2"/>
  <c r="C66" i="2"/>
  <c r="B66" i="2"/>
  <c r="N65" i="2"/>
  <c r="M65" i="2"/>
  <c r="L65" i="2"/>
  <c r="I65" i="2"/>
  <c r="H65" i="2"/>
  <c r="G65" i="2"/>
  <c r="F65" i="2"/>
  <c r="E65" i="2"/>
  <c r="J65" i="2" s="1"/>
  <c r="K65" i="2" s="1"/>
  <c r="D65" i="2"/>
  <c r="C65" i="2"/>
  <c r="B65" i="2"/>
  <c r="N64" i="2"/>
  <c r="M64" i="2"/>
  <c r="L64" i="2"/>
  <c r="J64" i="2"/>
  <c r="K64" i="2" s="1"/>
  <c r="I64" i="2"/>
  <c r="H64" i="2"/>
  <c r="G64" i="2"/>
  <c r="F64" i="2"/>
  <c r="E64" i="2"/>
  <c r="D64" i="2"/>
  <c r="C64" i="2"/>
  <c r="B64" i="2"/>
  <c r="N63" i="2"/>
  <c r="M63" i="2"/>
  <c r="L63" i="2"/>
  <c r="I63" i="2"/>
  <c r="H63" i="2"/>
  <c r="G63" i="2"/>
  <c r="F63" i="2"/>
  <c r="E63" i="2"/>
  <c r="J63" i="2" s="1"/>
  <c r="K63" i="2" s="1"/>
  <c r="D63" i="2"/>
  <c r="C63" i="2"/>
  <c r="B63" i="2"/>
  <c r="N62" i="2"/>
  <c r="M62" i="2"/>
  <c r="L62" i="2"/>
  <c r="I62" i="2"/>
  <c r="H62" i="2"/>
  <c r="G62" i="2"/>
  <c r="F62" i="2"/>
  <c r="E62" i="2"/>
  <c r="J62" i="2" s="1"/>
  <c r="K62" i="2" s="1"/>
  <c r="D62" i="2"/>
  <c r="C62" i="2"/>
  <c r="B62" i="2"/>
  <c r="N61" i="2"/>
  <c r="M61" i="2"/>
  <c r="L61" i="2"/>
  <c r="I61" i="2"/>
  <c r="H61" i="2"/>
  <c r="G61" i="2"/>
  <c r="F61" i="2"/>
  <c r="E61" i="2"/>
  <c r="J61" i="2" s="1"/>
  <c r="K61" i="2" s="1"/>
  <c r="D61" i="2"/>
  <c r="C61" i="2"/>
  <c r="B61" i="2"/>
  <c r="N60" i="2"/>
  <c r="M60" i="2"/>
  <c r="L60" i="2"/>
  <c r="I60" i="2"/>
  <c r="H60" i="2"/>
  <c r="G60" i="2"/>
  <c r="F60" i="2"/>
  <c r="E60" i="2"/>
  <c r="J60" i="2" s="1"/>
  <c r="K60" i="2" s="1"/>
  <c r="D60" i="2"/>
  <c r="C60" i="2"/>
  <c r="B60" i="2"/>
  <c r="N59" i="2"/>
  <c r="M59" i="2"/>
  <c r="L59" i="2"/>
  <c r="I59" i="2"/>
  <c r="H59" i="2"/>
  <c r="G59" i="2"/>
  <c r="F59" i="2"/>
  <c r="E59" i="2"/>
  <c r="J59" i="2" s="1"/>
  <c r="K59" i="2" s="1"/>
  <c r="D59" i="2"/>
  <c r="C59" i="2"/>
  <c r="B59" i="2"/>
  <c r="N58" i="2"/>
  <c r="M58" i="2"/>
  <c r="L58" i="2"/>
  <c r="J58" i="2"/>
  <c r="K58" i="2" s="1"/>
  <c r="I58" i="2"/>
  <c r="H58" i="2"/>
  <c r="G58" i="2"/>
  <c r="F58" i="2"/>
  <c r="E58" i="2"/>
  <c r="D58" i="2"/>
  <c r="C58" i="2"/>
  <c r="B58" i="2"/>
  <c r="N57" i="2"/>
  <c r="M57" i="2"/>
  <c r="L57" i="2"/>
  <c r="I57" i="2"/>
  <c r="H57" i="2"/>
  <c r="G57" i="2"/>
  <c r="F57" i="2"/>
  <c r="E57" i="2"/>
  <c r="J57" i="2" s="1"/>
  <c r="K57" i="2" s="1"/>
  <c r="D57" i="2"/>
  <c r="C57" i="2"/>
  <c r="B57" i="2"/>
  <c r="A57" i="2"/>
  <c r="N56" i="2"/>
  <c r="M56" i="2"/>
  <c r="L56" i="2"/>
  <c r="I56" i="2"/>
  <c r="H56" i="2"/>
  <c r="G56" i="2"/>
  <c r="F56" i="2"/>
  <c r="E56" i="2"/>
  <c r="J56" i="2" s="1"/>
  <c r="K56" i="2" s="1"/>
  <c r="D56" i="2"/>
  <c r="C56" i="2"/>
  <c r="B56" i="2"/>
  <c r="A56" i="2"/>
  <c r="N55" i="2"/>
  <c r="M55" i="2"/>
  <c r="L55" i="2"/>
  <c r="I55" i="2"/>
  <c r="H55" i="2"/>
  <c r="G55" i="2"/>
  <c r="F55" i="2"/>
  <c r="E55" i="2"/>
  <c r="J55" i="2" s="1"/>
  <c r="K55" i="2" s="1"/>
  <c r="D55" i="2"/>
  <c r="C55" i="2"/>
  <c r="B55" i="2"/>
  <c r="N54" i="2"/>
  <c r="M54" i="2"/>
  <c r="L54" i="2"/>
  <c r="I54" i="2"/>
  <c r="H54" i="2"/>
  <c r="G54" i="2"/>
  <c r="F54" i="2"/>
  <c r="E54" i="2"/>
  <c r="J54" i="2" s="1"/>
  <c r="K54" i="2" s="1"/>
  <c r="D54" i="2"/>
  <c r="C54" i="2"/>
  <c r="B54" i="2"/>
  <c r="N53" i="2"/>
  <c r="M53" i="2"/>
  <c r="L53" i="2"/>
  <c r="I53" i="2"/>
  <c r="H53" i="2"/>
  <c r="G53" i="2"/>
  <c r="F53" i="2"/>
  <c r="E53" i="2"/>
  <c r="J53" i="2" s="1"/>
  <c r="K53" i="2" s="1"/>
  <c r="D53" i="2"/>
  <c r="C53" i="2"/>
  <c r="B53" i="2"/>
  <c r="N52" i="2"/>
  <c r="M52" i="2"/>
  <c r="L52" i="2"/>
  <c r="J52" i="2"/>
  <c r="K52" i="2" s="1"/>
  <c r="I52" i="2"/>
  <c r="H52" i="2"/>
  <c r="G52" i="2"/>
  <c r="F52" i="2"/>
  <c r="E52" i="2"/>
  <c r="D52" i="2"/>
  <c r="C52" i="2"/>
  <c r="B52" i="2"/>
  <c r="N51" i="2"/>
  <c r="M51" i="2"/>
  <c r="L51" i="2"/>
  <c r="I51" i="2"/>
  <c r="H51" i="2"/>
  <c r="G51" i="2"/>
  <c r="F51" i="2"/>
  <c r="E51" i="2"/>
  <c r="J51" i="2" s="1"/>
  <c r="K51" i="2" s="1"/>
  <c r="D51" i="2"/>
  <c r="C51" i="2"/>
  <c r="B51" i="2"/>
  <c r="N50" i="2"/>
  <c r="M50" i="2"/>
  <c r="L50" i="2"/>
  <c r="I50" i="2"/>
  <c r="H50" i="2"/>
  <c r="G50" i="2"/>
  <c r="F50" i="2"/>
  <c r="E50" i="2"/>
  <c r="J50" i="2" s="1"/>
  <c r="K50" i="2" s="1"/>
  <c r="D50" i="2"/>
  <c r="C50" i="2"/>
  <c r="B50" i="2"/>
  <c r="N49" i="2"/>
  <c r="M49" i="2"/>
  <c r="L49" i="2"/>
  <c r="I49" i="2"/>
  <c r="H49" i="2"/>
  <c r="G49" i="2"/>
  <c r="F49" i="2"/>
  <c r="E49" i="2"/>
  <c r="J49" i="2" s="1"/>
  <c r="K49" i="2" s="1"/>
  <c r="D49" i="2"/>
  <c r="C49" i="2"/>
  <c r="B49" i="2"/>
  <c r="N48" i="2"/>
  <c r="M48" i="2"/>
  <c r="L48" i="2"/>
  <c r="I48" i="2"/>
  <c r="H48" i="2"/>
  <c r="G48" i="2"/>
  <c r="F48" i="2"/>
  <c r="E48" i="2"/>
  <c r="J48" i="2" s="1"/>
  <c r="K48" i="2" s="1"/>
  <c r="D48" i="2"/>
  <c r="C48" i="2"/>
  <c r="B48" i="2"/>
  <c r="N47" i="2"/>
  <c r="M47" i="2"/>
  <c r="L47" i="2"/>
  <c r="I47" i="2"/>
  <c r="H47" i="2"/>
  <c r="G47" i="2"/>
  <c r="F47" i="2"/>
  <c r="E47" i="2"/>
  <c r="J47" i="2" s="1"/>
  <c r="K47" i="2" s="1"/>
  <c r="D47" i="2"/>
  <c r="C47" i="2"/>
  <c r="B47" i="2"/>
  <c r="N46" i="2"/>
  <c r="M46" i="2"/>
  <c r="L46" i="2"/>
  <c r="J46" i="2"/>
  <c r="K46" i="2" s="1"/>
  <c r="I46" i="2"/>
  <c r="H46" i="2"/>
  <c r="G46" i="2"/>
  <c r="F46" i="2"/>
  <c r="E46" i="2"/>
  <c r="D46" i="2"/>
  <c r="C46" i="2"/>
  <c r="B46" i="2"/>
  <c r="A46" i="2"/>
  <c r="N45" i="2"/>
  <c r="M45" i="2"/>
  <c r="L45" i="2"/>
  <c r="I45" i="2"/>
  <c r="H45" i="2"/>
  <c r="G45" i="2"/>
  <c r="F45" i="2"/>
  <c r="E45" i="2"/>
  <c r="J45" i="2" s="1"/>
  <c r="K45" i="2" s="1"/>
  <c r="D45" i="2"/>
  <c r="C45" i="2"/>
  <c r="B45" i="2"/>
  <c r="A45" i="2"/>
  <c r="N44" i="2"/>
  <c r="M44" i="2"/>
  <c r="L44" i="2"/>
  <c r="I44" i="2"/>
  <c r="H44" i="2"/>
  <c r="G44" i="2"/>
  <c r="F44" i="2"/>
  <c r="E44" i="2"/>
  <c r="J44" i="2" s="1"/>
  <c r="K44" i="2" s="1"/>
  <c r="D44" i="2"/>
  <c r="C44" i="2"/>
  <c r="B44" i="2"/>
  <c r="A44" i="2"/>
  <c r="N43" i="2"/>
  <c r="M43" i="2"/>
  <c r="L43" i="2"/>
  <c r="I43" i="2"/>
  <c r="H43" i="2"/>
  <c r="G43" i="2"/>
  <c r="F43" i="2"/>
  <c r="E43" i="2"/>
  <c r="J43" i="2" s="1"/>
  <c r="K43" i="2" s="1"/>
  <c r="D43" i="2"/>
  <c r="C43" i="2"/>
  <c r="B43" i="2"/>
  <c r="N42" i="2"/>
  <c r="M42" i="2"/>
  <c r="L42" i="2"/>
  <c r="I42" i="2"/>
  <c r="H42" i="2"/>
  <c r="G42" i="2"/>
  <c r="F42" i="2"/>
  <c r="E42" i="2"/>
  <c r="J42" i="2" s="1"/>
  <c r="K42" i="2" s="1"/>
  <c r="D42" i="2"/>
  <c r="C42" i="2"/>
  <c r="B42" i="2"/>
  <c r="N41" i="2"/>
  <c r="M41" i="2"/>
  <c r="L41" i="2"/>
  <c r="I41" i="2"/>
  <c r="H41" i="2"/>
  <c r="G41" i="2"/>
  <c r="F41" i="2"/>
  <c r="E41" i="2"/>
  <c r="J41" i="2" s="1"/>
  <c r="K41" i="2" s="1"/>
  <c r="D41" i="2"/>
  <c r="C41" i="2"/>
  <c r="B41" i="2"/>
  <c r="N40" i="2"/>
  <c r="M40" i="2"/>
  <c r="L40" i="2"/>
  <c r="I40" i="2"/>
  <c r="H40" i="2"/>
  <c r="G40" i="2"/>
  <c r="F40" i="2"/>
  <c r="J40" i="2" s="1"/>
  <c r="K40" i="2" s="1"/>
  <c r="E40" i="2"/>
  <c r="D40" i="2"/>
  <c r="C40" i="2"/>
  <c r="B40" i="2"/>
  <c r="N39" i="2"/>
  <c r="M39" i="2"/>
  <c r="L39" i="2"/>
  <c r="I39" i="2"/>
  <c r="H39" i="2"/>
  <c r="G39" i="2"/>
  <c r="F39" i="2"/>
  <c r="E39" i="2"/>
  <c r="J39" i="2" s="1"/>
  <c r="K39" i="2" s="1"/>
  <c r="D39" i="2"/>
  <c r="C39" i="2"/>
  <c r="B39" i="2"/>
  <c r="N38" i="2"/>
  <c r="M38" i="2"/>
  <c r="L38" i="2"/>
  <c r="I38" i="2"/>
  <c r="H38" i="2"/>
  <c r="J38" i="2" s="1"/>
  <c r="K38" i="2" s="1"/>
  <c r="G38" i="2"/>
  <c r="F38" i="2"/>
  <c r="E38" i="2"/>
  <c r="D38" i="2"/>
  <c r="C38" i="2"/>
  <c r="B38" i="2"/>
  <c r="N37" i="2"/>
  <c r="M37" i="2"/>
  <c r="L37" i="2"/>
  <c r="J37" i="2"/>
  <c r="K37" i="2" s="1"/>
  <c r="I37" i="2"/>
  <c r="H37" i="2"/>
  <c r="G37" i="2"/>
  <c r="F37" i="2"/>
  <c r="E37" i="2"/>
  <c r="D37" i="2"/>
  <c r="C37" i="2"/>
  <c r="B37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N35" i="2"/>
  <c r="M35" i="2"/>
  <c r="L35" i="2"/>
  <c r="I35" i="2"/>
  <c r="H35" i="2"/>
  <c r="G35" i="2"/>
  <c r="F35" i="2"/>
  <c r="E35" i="2"/>
  <c r="J35" i="2" s="1"/>
  <c r="K35" i="2" s="1"/>
  <c r="D35" i="2"/>
  <c r="C35" i="2"/>
  <c r="B35" i="2"/>
  <c r="N34" i="2"/>
  <c r="M34" i="2"/>
  <c r="L34" i="2"/>
  <c r="I34" i="2"/>
  <c r="H34" i="2"/>
  <c r="G34" i="2"/>
  <c r="F34" i="2"/>
  <c r="E34" i="2"/>
  <c r="J34" i="2" s="1"/>
  <c r="K34" i="2" s="1"/>
  <c r="D34" i="2"/>
  <c r="C34" i="2"/>
  <c r="B34" i="2"/>
  <c r="N33" i="2"/>
  <c r="M33" i="2"/>
  <c r="L33" i="2"/>
  <c r="I33" i="2"/>
  <c r="H33" i="2"/>
  <c r="G33" i="2"/>
  <c r="F33" i="2"/>
  <c r="E33" i="2"/>
  <c r="J33" i="2" s="1"/>
  <c r="K33" i="2" s="1"/>
  <c r="D33" i="2"/>
  <c r="C33" i="2"/>
  <c r="B33" i="2"/>
  <c r="N32" i="2"/>
  <c r="M32" i="2"/>
  <c r="L32" i="2"/>
  <c r="I32" i="2"/>
  <c r="H32" i="2"/>
  <c r="G32" i="2"/>
  <c r="J32" i="2" s="1"/>
  <c r="K32" i="2" s="1"/>
  <c r="F32" i="2"/>
  <c r="E32" i="2"/>
  <c r="D32" i="2"/>
  <c r="C32" i="2"/>
  <c r="B32" i="2"/>
  <c r="N31" i="2"/>
  <c r="M31" i="2"/>
  <c r="L31" i="2"/>
  <c r="I31" i="2"/>
  <c r="H31" i="2"/>
  <c r="G31" i="2"/>
  <c r="F31" i="2"/>
  <c r="E31" i="2"/>
  <c r="J31" i="2" s="1"/>
  <c r="K31" i="2" s="1"/>
  <c r="D31" i="2"/>
  <c r="C31" i="2"/>
  <c r="B31" i="2"/>
  <c r="N30" i="2"/>
  <c r="M30" i="2"/>
  <c r="L30" i="2"/>
  <c r="I30" i="2"/>
  <c r="H30" i="2"/>
  <c r="G30" i="2"/>
  <c r="F30" i="2"/>
  <c r="E30" i="2"/>
  <c r="J30" i="2" s="1"/>
  <c r="K30" i="2" s="1"/>
  <c r="D30" i="2"/>
  <c r="C30" i="2"/>
  <c r="B30" i="2"/>
  <c r="N29" i="2"/>
  <c r="M29" i="2"/>
  <c r="L29" i="2"/>
  <c r="I29" i="2"/>
  <c r="H29" i="2"/>
  <c r="G29" i="2"/>
  <c r="F29" i="2"/>
  <c r="E29" i="2"/>
  <c r="J29" i="2" s="1"/>
  <c r="K29" i="2" s="1"/>
  <c r="D29" i="2"/>
  <c r="C29" i="2"/>
  <c r="B29" i="2"/>
  <c r="N28" i="2"/>
  <c r="M28" i="2"/>
  <c r="L28" i="2"/>
  <c r="I28" i="2"/>
  <c r="H28" i="2"/>
  <c r="G28" i="2"/>
  <c r="F28" i="2"/>
  <c r="J28" i="2" s="1"/>
  <c r="K28" i="2" s="1"/>
  <c r="E28" i="2"/>
  <c r="D28" i="2"/>
  <c r="C28" i="2"/>
  <c r="B28" i="2"/>
  <c r="N27" i="2"/>
  <c r="M27" i="2"/>
  <c r="L27" i="2"/>
  <c r="I27" i="2"/>
  <c r="H27" i="2"/>
  <c r="G27" i="2"/>
  <c r="F27" i="2"/>
  <c r="E27" i="2"/>
  <c r="J27" i="2" s="1"/>
  <c r="K27" i="2" s="1"/>
  <c r="D27" i="2"/>
  <c r="C27" i="2"/>
  <c r="B27" i="2"/>
  <c r="N26" i="2"/>
  <c r="M26" i="2"/>
  <c r="L26" i="2"/>
  <c r="I26" i="2"/>
  <c r="H26" i="2"/>
  <c r="J26" i="2" s="1"/>
  <c r="K26" i="2" s="1"/>
  <c r="G26" i="2"/>
  <c r="F26" i="2"/>
  <c r="E26" i="2"/>
  <c r="D26" i="2"/>
  <c r="C26" i="2"/>
  <c r="B26" i="2"/>
  <c r="N25" i="2"/>
  <c r="M25" i="2"/>
  <c r="L25" i="2"/>
  <c r="J25" i="2"/>
  <c r="K25" i="2" s="1"/>
  <c r="I25" i="2"/>
  <c r="H25" i="2"/>
  <c r="G25" i="2"/>
  <c r="F25" i="2"/>
  <c r="E25" i="2"/>
  <c r="D25" i="2"/>
  <c r="C25" i="2"/>
  <c r="B25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N23" i="2"/>
  <c r="M23" i="2"/>
  <c r="L23" i="2"/>
  <c r="I23" i="2"/>
  <c r="H23" i="2"/>
  <c r="G23" i="2"/>
  <c r="F23" i="2"/>
  <c r="E23" i="2"/>
  <c r="J23" i="2" s="1"/>
  <c r="K23" i="2" s="1"/>
  <c r="D23" i="2"/>
  <c r="C23" i="2"/>
  <c r="B23" i="2"/>
  <c r="N22" i="2"/>
  <c r="M22" i="2"/>
  <c r="L22" i="2"/>
  <c r="I22" i="2"/>
  <c r="H22" i="2"/>
  <c r="G22" i="2"/>
  <c r="F22" i="2"/>
  <c r="E22" i="2"/>
  <c r="J22" i="2" s="1"/>
  <c r="K22" i="2" s="1"/>
  <c r="D22" i="2"/>
  <c r="C22" i="2"/>
  <c r="B22" i="2"/>
  <c r="N21" i="2"/>
  <c r="M21" i="2"/>
  <c r="L21" i="2"/>
  <c r="I21" i="2"/>
  <c r="H21" i="2"/>
  <c r="G21" i="2"/>
  <c r="F21" i="2"/>
  <c r="E21" i="2"/>
  <c r="J21" i="2" s="1"/>
  <c r="K21" i="2" s="1"/>
  <c r="D21" i="2"/>
  <c r="C21" i="2"/>
  <c r="B21" i="2"/>
  <c r="N20" i="2"/>
  <c r="M20" i="2"/>
  <c r="L20" i="2"/>
  <c r="I20" i="2"/>
  <c r="H20" i="2"/>
  <c r="G20" i="2"/>
  <c r="F20" i="2"/>
  <c r="J20" i="2" s="1"/>
  <c r="K20" i="2" s="1"/>
  <c r="E20" i="2"/>
  <c r="D20" i="2"/>
  <c r="C20" i="2"/>
  <c r="B20" i="2"/>
  <c r="N19" i="2"/>
  <c r="M19" i="2"/>
  <c r="L19" i="2"/>
  <c r="I19" i="2"/>
  <c r="H19" i="2"/>
  <c r="G19" i="2"/>
  <c r="F19" i="2"/>
  <c r="E19" i="2"/>
  <c r="J19" i="2" s="1"/>
  <c r="K19" i="2" s="1"/>
  <c r="D19" i="2"/>
  <c r="C19" i="2"/>
  <c r="B19" i="2"/>
  <c r="N18" i="2"/>
  <c r="M18" i="2"/>
  <c r="L18" i="2"/>
  <c r="I18" i="2"/>
  <c r="H18" i="2"/>
  <c r="G18" i="2"/>
  <c r="F18" i="2"/>
  <c r="E18" i="2"/>
  <c r="J18" i="2" s="1"/>
  <c r="K18" i="2" s="1"/>
  <c r="D18" i="2"/>
  <c r="C18" i="2"/>
  <c r="B18" i="2"/>
  <c r="N17" i="2"/>
  <c r="M17" i="2"/>
  <c r="L17" i="2"/>
  <c r="I17" i="2"/>
  <c r="H17" i="2"/>
  <c r="G17" i="2"/>
  <c r="F17" i="2"/>
  <c r="E17" i="2"/>
  <c r="J17" i="2" s="1"/>
  <c r="K17" i="2" s="1"/>
  <c r="D17" i="2"/>
  <c r="C17" i="2"/>
  <c r="B17" i="2"/>
  <c r="N16" i="2"/>
  <c r="M16" i="2"/>
  <c r="L16" i="2"/>
  <c r="I16" i="2"/>
  <c r="H16" i="2"/>
  <c r="G16" i="2"/>
  <c r="F16" i="2"/>
  <c r="J16" i="2" s="1"/>
  <c r="K16" i="2" s="1"/>
  <c r="E16" i="2"/>
  <c r="D16" i="2"/>
  <c r="C16" i="2"/>
  <c r="B16" i="2"/>
  <c r="N15" i="2"/>
  <c r="M15" i="2"/>
  <c r="L15" i="2"/>
  <c r="I15" i="2"/>
  <c r="H15" i="2"/>
  <c r="G15" i="2"/>
  <c r="F15" i="2"/>
  <c r="E15" i="2"/>
  <c r="J15" i="2" s="1"/>
  <c r="K15" i="2" s="1"/>
  <c r="D15" i="2"/>
  <c r="C15" i="2"/>
  <c r="B15" i="2"/>
  <c r="N14" i="2"/>
  <c r="M14" i="2"/>
  <c r="L14" i="2"/>
  <c r="I14" i="2"/>
  <c r="H14" i="2"/>
  <c r="J14" i="2" s="1"/>
  <c r="K14" i="2" s="1"/>
  <c r="G14" i="2"/>
  <c r="F14" i="2"/>
  <c r="E14" i="2"/>
  <c r="D14" i="2"/>
  <c r="C14" i="2"/>
  <c r="B14" i="2"/>
  <c r="N13" i="2"/>
  <c r="M13" i="2"/>
  <c r="L13" i="2"/>
  <c r="J13" i="2"/>
  <c r="K13" i="2" s="1"/>
  <c r="I13" i="2"/>
  <c r="H13" i="2"/>
  <c r="G13" i="2"/>
  <c r="F13" i="2"/>
  <c r="E13" i="2"/>
  <c r="D13" i="2"/>
  <c r="C13" i="2"/>
  <c r="B13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N11" i="2"/>
  <c r="M11" i="2"/>
  <c r="L11" i="2"/>
  <c r="I11" i="2"/>
  <c r="H11" i="2"/>
  <c r="G11" i="2"/>
  <c r="F11" i="2"/>
  <c r="E11" i="2"/>
  <c r="J11" i="2" s="1"/>
  <c r="K11" i="2" s="1"/>
  <c r="D11" i="2"/>
  <c r="C11" i="2"/>
  <c r="B11" i="2"/>
  <c r="N10" i="2"/>
  <c r="M10" i="2"/>
  <c r="L10" i="2"/>
  <c r="I10" i="2"/>
  <c r="H10" i="2"/>
  <c r="G10" i="2"/>
  <c r="F10" i="2"/>
  <c r="E10" i="2"/>
  <c r="J10" i="2" s="1"/>
  <c r="K10" i="2" s="1"/>
  <c r="D10" i="2"/>
  <c r="C10" i="2"/>
  <c r="B10" i="2"/>
  <c r="N9" i="2"/>
  <c r="M9" i="2"/>
  <c r="C14" i="3" s="1"/>
  <c r="L9" i="2"/>
  <c r="I9" i="2"/>
  <c r="H9" i="2"/>
  <c r="G9" i="2"/>
  <c r="F9" i="2"/>
  <c r="E9" i="2"/>
  <c r="J9" i="2" s="1"/>
  <c r="K9" i="2" s="1"/>
  <c r="D9" i="2"/>
  <c r="C9" i="2"/>
  <c r="B9" i="2"/>
  <c r="N8" i="2"/>
  <c r="M8" i="2"/>
  <c r="L8" i="2"/>
  <c r="I8" i="2"/>
  <c r="H8" i="2"/>
  <c r="G8" i="2"/>
  <c r="F8" i="2"/>
  <c r="J8" i="2" s="1"/>
  <c r="K8" i="2" s="1"/>
  <c r="E8" i="2"/>
  <c r="D8" i="2"/>
  <c r="C8" i="2"/>
  <c r="B8" i="2"/>
  <c r="N7" i="2"/>
  <c r="M7" i="2"/>
  <c r="L7" i="2"/>
  <c r="I7" i="2"/>
  <c r="H7" i="2"/>
  <c r="G7" i="2"/>
  <c r="F7" i="2"/>
  <c r="E7" i="2"/>
  <c r="J7" i="2" s="1"/>
  <c r="K7" i="2" s="1"/>
  <c r="D7" i="2"/>
  <c r="C7" i="2"/>
  <c r="B7" i="2"/>
  <c r="N6" i="2"/>
  <c r="D18" i="3" s="1"/>
  <c r="M6" i="2"/>
  <c r="L6" i="2"/>
  <c r="I6" i="2"/>
  <c r="H6" i="2"/>
  <c r="G6" i="2"/>
  <c r="F6" i="2"/>
  <c r="E6" i="2"/>
  <c r="J6" i="2" s="1"/>
  <c r="K6" i="2" s="1"/>
  <c r="D6" i="2"/>
  <c r="G7" i="3" s="1"/>
  <c r="C6" i="2"/>
  <c r="B6" i="2"/>
  <c r="N5" i="2"/>
  <c r="D19" i="3" s="1"/>
  <c r="M5" i="2"/>
  <c r="C19" i="3" s="1"/>
  <c r="L5" i="2"/>
  <c r="B19" i="3" s="1"/>
  <c r="I5" i="2"/>
  <c r="H5" i="2"/>
  <c r="G5" i="2"/>
  <c r="F5" i="2"/>
  <c r="E5" i="2"/>
  <c r="J5" i="2" s="1"/>
  <c r="K5" i="2" s="1"/>
  <c r="D5" i="2"/>
  <c r="E7" i="3" s="1"/>
  <c r="C5" i="2"/>
  <c r="B5" i="2"/>
  <c r="N4" i="2"/>
  <c r="M4" i="2"/>
  <c r="L4" i="2"/>
  <c r="I4" i="2"/>
  <c r="H4" i="2"/>
  <c r="G4" i="2"/>
  <c r="F4" i="2"/>
  <c r="J4" i="2" s="1"/>
  <c r="K4" i="2" s="1"/>
  <c r="E4" i="2"/>
  <c r="D4" i="2"/>
  <c r="C4" i="2"/>
  <c r="B4" i="2"/>
  <c r="A104" i="1"/>
  <c r="A104" i="2" s="1"/>
  <c r="A103" i="1"/>
  <c r="A103" i="2" s="1"/>
  <c r="A102" i="1"/>
  <c r="A102" i="2" s="1"/>
  <c r="A101" i="1"/>
  <c r="A101" i="2" s="1"/>
  <c r="A100" i="1"/>
  <c r="A100" i="2" s="1"/>
  <c r="A99" i="1"/>
  <c r="A99" i="2" s="1"/>
  <c r="A98" i="1"/>
  <c r="A98" i="2" s="1"/>
  <c r="A97" i="1"/>
  <c r="A97" i="2" s="1"/>
  <c r="A96" i="1"/>
  <c r="A96" i="2" s="1"/>
  <c r="A95" i="1"/>
  <c r="A95" i="2" s="1"/>
  <c r="A94" i="1"/>
  <c r="A94" i="2" s="1"/>
  <c r="A93" i="1"/>
  <c r="A93" i="2" s="1"/>
  <c r="A92" i="1"/>
  <c r="A92" i="2" s="1"/>
  <c r="A91" i="1"/>
  <c r="A91" i="2" s="1"/>
  <c r="A90" i="1"/>
  <c r="A90" i="2" s="1"/>
  <c r="A89" i="1"/>
  <c r="A89" i="2" s="1"/>
  <c r="A88" i="1"/>
  <c r="A88" i="2" s="1"/>
  <c r="A87" i="1"/>
  <c r="A87" i="2" s="1"/>
  <c r="A86" i="1"/>
  <c r="A86" i="2" s="1"/>
  <c r="A85" i="1"/>
  <c r="A85" i="2" s="1"/>
  <c r="A84" i="1"/>
  <c r="A84" i="2" s="1"/>
  <c r="A83" i="1"/>
  <c r="A83" i="2" s="1"/>
  <c r="A82" i="1"/>
  <c r="A82" i="2" s="1"/>
  <c r="A81" i="1"/>
  <c r="A81" i="2" s="1"/>
  <c r="A80" i="1"/>
  <c r="A80" i="2" s="1"/>
  <c r="A79" i="1"/>
  <c r="A79" i="2" s="1"/>
  <c r="A78" i="1"/>
  <c r="A78" i="2" s="1"/>
  <c r="A77" i="1"/>
  <c r="A77" i="2" s="1"/>
  <c r="A76" i="1"/>
  <c r="A76" i="2" s="1"/>
  <c r="A75" i="1"/>
  <c r="A75" i="2" s="1"/>
  <c r="A74" i="1"/>
  <c r="A74" i="2" s="1"/>
  <c r="A73" i="1"/>
  <c r="A73" i="2" s="1"/>
  <c r="A72" i="1"/>
  <c r="A72" i="2" s="1"/>
  <c r="A71" i="1"/>
  <c r="A71" i="2" s="1"/>
  <c r="A70" i="1"/>
  <c r="A70" i="2" s="1"/>
  <c r="A69" i="1"/>
  <c r="A68" i="1"/>
  <c r="A68" i="2" s="1"/>
  <c r="A67" i="1"/>
  <c r="A67" i="2" s="1"/>
  <c r="A66" i="1"/>
  <c r="A66" i="2" s="1"/>
  <c r="A65" i="1"/>
  <c r="A65" i="2" s="1"/>
  <c r="A64" i="1"/>
  <c r="A64" i="2" s="1"/>
  <c r="A63" i="1"/>
  <c r="A63" i="2" s="1"/>
  <c r="A62" i="1"/>
  <c r="A62" i="2" s="1"/>
  <c r="A61" i="1"/>
  <c r="A61" i="2" s="1"/>
  <c r="A60" i="1"/>
  <c r="A60" i="2" s="1"/>
  <c r="A59" i="1"/>
  <c r="A59" i="2" s="1"/>
  <c r="A58" i="1"/>
  <c r="A58" i="2" s="1"/>
  <c r="A57" i="1"/>
  <c r="A56" i="1"/>
  <c r="A55" i="1"/>
  <c r="A55" i="2" s="1"/>
  <c r="A54" i="1"/>
  <c r="A54" i="2" s="1"/>
  <c r="A53" i="1"/>
  <c r="A53" i="2" s="1"/>
  <c r="A52" i="1"/>
  <c r="A52" i="2" s="1"/>
  <c r="A51" i="1"/>
  <c r="A51" i="2" s="1"/>
  <c r="A50" i="1"/>
  <c r="A50" i="2" s="1"/>
  <c r="A49" i="1"/>
  <c r="A49" i="2" s="1"/>
  <c r="A48" i="1"/>
  <c r="A48" i="2" s="1"/>
  <c r="A47" i="1"/>
  <c r="A47" i="2" s="1"/>
  <c r="A46" i="1"/>
  <c r="A45" i="1"/>
  <c r="F19" i="3" l="1"/>
  <c r="F14" i="3"/>
  <c r="G18" i="3"/>
  <c r="G19" i="3"/>
  <c r="E19" i="3"/>
  <c r="B5" i="3"/>
  <c r="D6" i="3"/>
  <c r="F7" i="3"/>
  <c r="B14" i="3"/>
  <c r="E14" i="3" s="1"/>
  <c r="B16" i="3"/>
  <c r="E16" i="3" s="1"/>
  <c r="B18" i="3"/>
  <c r="E18" i="3" s="1"/>
  <c r="C16" i="3"/>
  <c r="F16" i="3" s="1"/>
  <c r="B4" i="3"/>
  <c r="D5" i="3"/>
  <c r="F6" i="3"/>
  <c r="H7" i="3"/>
  <c r="I7" i="3" s="1"/>
  <c r="D14" i="3"/>
  <c r="G14" i="3" s="1"/>
  <c r="D16" i="3"/>
  <c r="G16" i="3" s="1"/>
  <c r="C4" i="3"/>
  <c r="E5" i="3"/>
  <c r="G6" i="3"/>
  <c r="C18" i="3"/>
  <c r="F18" i="3" s="1"/>
  <c r="D4" i="3"/>
  <c r="F5" i="3"/>
  <c r="H6" i="3"/>
  <c r="I6" i="3" s="1"/>
  <c r="E4" i="3"/>
  <c r="G5" i="3"/>
  <c r="F4" i="3"/>
  <c r="H5" i="3"/>
  <c r="I5" i="3" s="1"/>
  <c r="B15" i="3"/>
  <c r="B17" i="3"/>
  <c r="E17" i="3" s="1"/>
  <c r="E6" i="3"/>
  <c r="G4" i="3"/>
  <c r="C15" i="3"/>
  <c r="F15" i="3" s="1"/>
  <c r="C17" i="3"/>
  <c r="F17" i="3" s="1"/>
  <c r="C5" i="3"/>
  <c r="H4" i="3"/>
  <c r="B7" i="3"/>
  <c r="D15" i="3"/>
  <c r="G15" i="3" s="1"/>
  <c r="D17" i="3"/>
  <c r="G17" i="3" s="1"/>
  <c r="C7" i="3"/>
  <c r="B6" i="3"/>
  <c r="D7" i="3"/>
  <c r="C6" i="3"/>
  <c r="K5" i="3" l="1"/>
  <c r="J5" i="3"/>
  <c r="K4" i="3"/>
  <c r="J4" i="3"/>
  <c r="K6" i="3"/>
  <c r="J6" i="3"/>
  <c r="K7" i="3"/>
  <c r="J7" i="3"/>
  <c r="H9" i="3"/>
  <c r="I4" i="3"/>
</calcChain>
</file>

<file path=xl/sharedStrings.xml><?xml version="1.0" encoding="utf-8"?>
<sst xmlns="http://schemas.openxmlformats.org/spreadsheetml/2006/main" count="671" uniqueCount="207">
  <si>
    <t>PACKAGING COMMUNICATION HIERARCHY STUDY — Data Entry</t>
  </si>
  <si>
    <t>Show pack for 5 seconds → hide → ask Q1-Q11 → record answers below.    Brands: AP = Asian Paints  |  BO = Birla Opus  |  DP = Dulux Paints  |  JSW = JSW Paints</t>
  </si>
  <si>
    <t>PROFILE</t>
  </si>
  <si>
    <t>BRAND &amp; PRODUCT RECALL</t>
  </si>
  <si>
    <t>BENEFIT RECALL</t>
  </si>
  <si>
    <t>EASE</t>
  </si>
  <si>
    <t>NOTICE ORDER</t>
  </si>
  <si>
    <t>COMM. EFFECTIVENESS</t>
  </si>
  <si>
    <t>#</t>
  </si>
  <si>
    <t>Name</t>
  </si>
  <si>
    <t>Date</t>
  </si>
  <si>
    <t>City</t>
  </si>
  <si>
    <t>Paint buyer?</t>
  </si>
  <si>
    <t>Respondent type</t>
  </si>
  <si>
    <t>Brand shown</t>
  </si>
  <si>
    <t>Q1  Brand recalled</t>
  </si>
  <si>
    <t>Brand correct?</t>
  </si>
  <si>
    <t>Q2  Product type</t>
  </si>
  <si>
    <t>Product correct?</t>
  </si>
  <si>
    <t>Q3  Benefit recalled</t>
  </si>
  <si>
    <t>Benefit score</t>
  </si>
  <si>
    <t>Q4  Ease (1-5)</t>
  </si>
  <si>
    <t>Q5  Noticed 1st</t>
  </si>
  <si>
    <t>Q6  Noticed 2nd</t>
  </si>
  <si>
    <t>Q7  Noticed 3rd</t>
  </si>
  <si>
    <t>Q8  Confidence (1-5)</t>
  </si>
  <si>
    <t>Q9  Info overload (1-5)</t>
  </si>
  <si>
    <t>Q10  Confusing info</t>
  </si>
  <si>
    <t>Q11  Purchase intent (1-5)</t>
  </si>
  <si>
    <t>Meera Malhotra</t>
  </si>
  <si>
    <t>07-May-2025</t>
  </si>
  <si>
    <t>Nagpur</t>
  </si>
  <si>
    <t>Yes</t>
  </si>
  <si>
    <t>Contractor</t>
  </si>
  <si>
    <t>DP</t>
  </si>
  <si>
    <t>Birla Opus</t>
  </si>
  <si>
    <t>No</t>
  </si>
  <si>
    <t>Exterior Paint</t>
  </si>
  <si>
    <t>Water resistance</t>
  </si>
  <si>
    <t>Usage Instructions</t>
  </si>
  <si>
    <t>Product Name</t>
  </si>
  <si>
    <t>Colour Swatch</t>
  </si>
  <si>
    <t>Product naming complex</t>
  </si>
  <si>
    <t>Arjun Desai</t>
  </si>
  <si>
    <t>02-Apr-2025</t>
  </si>
  <si>
    <t>Chennai</t>
  </si>
  <si>
    <t>Consumer</t>
  </si>
  <si>
    <t>BO</t>
  </si>
  <si>
    <t>Wall Putty</t>
  </si>
  <si>
    <t>UV protection</t>
  </si>
  <si>
    <t>Warranty Badge</t>
  </si>
  <si>
    <t>Feature Claims</t>
  </si>
  <si>
    <t>Eco Certifications</t>
  </si>
  <si>
    <t>Multiple finish levels confusing</t>
  </si>
  <si>
    <t>Kiran Pillai</t>
  </si>
  <si>
    <t>10-May-2025</t>
  </si>
  <si>
    <t>Hyderabad</t>
  </si>
  <si>
    <t>Dealer</t>
  </si>
  <si>
    <t>Exterior Emulsion</t>
  </si>
  <si>
    <t>7-year warranty</t>
  </si>
  <si>
    <t>Pack Size</t>
  </si>
  <si>
    <t>Finish Level Icon</t>
  </si>
  <si>
    <t>No confusion reported</t>
  </si>
  <si>
    <t>Mohan Shah</t>
  </si>
  <si>
    <t>02-Mar-2025</t>
  </si>
  <si>
    <t>Lucknow</t>
  </si>
  <si>
    <t>JSW</t>
  </si>
  <si>
    <t>JSW Paints</t>
  </si>
  <si>
    <t>Colour-Change Primer</t>
  </si>
  <si>
    <t>Any Colour One Price</t>
  </si>
  <si>
    <t>Meera Verma</t>
  </si>
  <si>
    <t>27-May-2025</t>
  </si>
  <si>
    <t>Kolkata</t>
  </si>
  <si>
    <t>Dulux Paints</t>
  </si>
  <si>
    <t>Primer</t>
  </si>
  <si>
    <t>Global quality standard</t>
  </si>
  <si>
    <t>Price Info</t>
  </si>
  <si>
    <t>Pooja Desai</t>
  </si>
  <si>
    <t>15-Mar-2025</t>
  </si>
  <si>
    <t>Ahmedabad</t>
  </si>
  <si>
    <t>AP</t>
  </si>
  <si>
    <t>Asian Paints</t>
  </si>
  <si>
    <t>Interior Emulsion</t>
  </si>
  <si>
    <t>6-year warranty</t>
  </si>
  <si>
    <t>Bharat Singh</t>
  </si>
  <si>
    <t>Stain resistance</t>
  </si>
  <si>
    <t>Brand Name</t>
  </si>
  <si>
    <t>Priya Iyer</t>
  </si>
  <si>
    <t>08-May-2025</t>
  </si>
  <si>
    <t>Dust resistance</t>
  </si>
  <si>
    <t>Technical claims</t>
  </si>
  <si>
    <t>Deepak Yadav</t>
  </si>
  <si>
    <t>04-Apr-2025</t>
  </si>
  <si>
    <t>Delhi</t>
  </si>
  <si>
    <t>Ashok Bose</t>
  </si>
  <si>
    <t>22-May-2025</t>
  </si>
  <si>
    <t>Pune</t>
  </si>
  <si>
    <t>Modern aesthetics</t>
  </si>
  <si>
    <t>Ankit Malhotra</t>
  </si>
  <si>
    <t>13-Apr-2025</t>
  </si>
  <si>
    <t>Suresh Menon</t>
  </si>
  <si>
    <t>Fragrant putty</t>
  </si>
  <si>
    <t>SKU navigation unclear</t>
  </si>
  <si>
    <t>Prakash Pandey</t>
  </si>
  <si>
    <t>07-Apr-2025</t>
  </si>
  <si>
    <t>Claims too technical</t>
  </si>
  <si>
    <t>Amit Iyer</t>
  </si>
  <si>
    <t>25-Apr-2025</t>
  </si>
  <si>
    <t>Jaipur</t>
  </si>
  <si>
    <t>Priya Pandey</t>
  </si>
  <si>
    <t>21-Mar-2025</t>
  </si>
  <si>
    <t>Weathershield</t>
  </si>
  <si>
    <t>Anti-algal coating</t>
  </si>
  <si>
    <t>Sunil Chatterjee</t>
  </si>
  <si>
    <t>28-Apr-2025</t>
  </si>
  <si>
    <t>Variant differentiation weak</t>
  </si>
  <si>
    <t>Nandini Dubey</t>
  </si>
  <si>
    <t>01-Mar-2025</t>
  </si>
  <si>
    <t>Harish Pillai</t>
  </si>
  <si>
    <t>03-Apr-2025</t>
  </si>
  <si>
    <t>Surat</t>
  </si>
  <si>
    <t>Variant hierarchy unclear</t>
  </si>
  <si>
    <t>Vikram Patel</t>
  </si>
  <si>
    <t>04-May-2025</t>
  </si>
  <si>
    <t>Dinesh Desai</t>
  </si>
  <si>
    <t>23-Mar-2025</t>
  </si>
  <si>
    <t>Waterproofing Coat</t>
  </si>
  <si>
    <t>Easy washable surface</t>
  </si>
  <si>
    <t>Sunil Kumar</t>
  </si>
  <si>
    <t>Dinesh Singh</t>
  </si>
  <si>
    <t>14-Mar-2025</t>
  </si>
  <si>
    <t>LEED certified</t>
  </si>
  <si>
    <t>Product tier not obvious</t>
  </si>
  <si>
    <t>Tarun Joshi</t>
  </si>
  <si>
    <t>20-May-2025</t>
  </si>
  <si>
    <t>Too many variant names</t>
  </si>
  <si>
    <t>Prakash Chatterjee</t>
  </si>
  <si>
    <t>08-Apr-2025</t>
  </si>
  <si>
    <t>Nandini Gupta</t>
  </si>
  <si>
    <t>21-May-2025</t>
  </si>
  <si>
    <t>Anti-fungal protection</t>
  </si>
  <si>
    <t>Nandini Yadav</t>
  </si>
  <si>
    <t>Pooja Das</t>
  </si>
  <si>
    <t>17-May-2025</t>
  </si>
  <si>
    <t>Bengaluru</t>
  </si>
  <si>
    <t>Fragrant Putty</t>
  </si>
  <si>
    <t>Colour-changing primer</t>
  </si>
  <si>
    <t>Meera Pillai</t>
  </si>
  <si>
    <t>26-Mar-2025</t>
  </si>
  <si>
    <t>Mumbai</t>
  </si>
  <si>
    <t>Vikram Bose</t>
  </si>
  <si>
    <t>20-Mar-2025</t>
  </si>
  <si>
    <t>Kiran Pandey</t>
  </si>
  <si>
    <t>17-Apr-2025</t>
  </si>
  <si>
    <t>Rajesh Gupta</t>
  </si>
  <si>
    <t>Prakash Iyer</t>
  </si>
  <si>
    <t>09-May-2025</t>
  </si>
  <si>
    <t>Wood Stain</t>
  </si>
  <si>
    <t>Meera Chatterjee</t>
  </si>
  <si>
    <t>Dinesh Das</t>
  </si>
  <si>
    <t>Ganesh Desai</t>
  </si>
  <si>
    <t>16-May-2025</t>
  </si>
  <si>
    <t>Manoj Nair</t>
  </si>
  <si>
    <t>11-Apr-2025</t>
  </si>
  <si>
    <t>Suresh Malhotra</t>
  </si>
  <si>
    <t>02-May-2025</t>
  </si>
  <si>
    <t>Ganesh Iyer</t>
  </si>
  <si>
    <t>03-Mar-2025</t>
  </si>
  <si>
    <t>Meera Kumar</t>
  </si>
  <si>
    <t>Pooja Dubey</t>
  </si>
  <si>
    <t>16-Apr-2025</t>
  </si>
  <si>
    <t>COMMUNICATION HIERARCHY SCORECARD — Auto-calculated from Data Entry</t>
  </si>
  <si>
    <t>CHS = (Brand Recall×25%) + (Product ID×20%) + (Benefit Recall×25%) + (Ease of Understanding×15%) + (Purchase Confidence×15%)  |  Max = 100</t>
  </si>
  <si>
    <t>RESPONDENT</t>
  </si>
  <si>
    <t>BRAND RECALL
(×25%, max 5)</t>
  </si>
  <si>
    <t>PRODUCT ID
(×20%, max 5)</t>
  </si>
  <si>
    <t>BENEFIT RECALL
(×25%, max 5)</t>
  </si>
  <si>
    <t>EASE
(×15%, max 5)</t>
  </si>
  <si>
    <t>PURCHASE CONF
(×15%, max 5)</t>
  </si>
  <si>
    <t>SCORES</t>
  </si>
  <si>
    <t>HIERARCHY PATTERN (Q5-Q7)</t>
  </si>
  <si>
    <t>BRAND SUMMARY — Average Scores per Brand</t>
  </si>
  <si>
    <t>All scores auto-calculated using AVERAGEIF from Scorecard. Higher CHS = better packaging communication.</t>
  </si>
  <si>
    <t>Brand</t>
  </si>
  <si>
    <t>n (responses)</t>
  </si>
  <si>
    <t>Brand Recall
(/5)</t>
  </si>
  <si>
    <t>Product ID
(/5)</t>
  </si>
  <si>
    <t>Benefit Recall
(/5)</t>
  </si>
  <si>
    <t>Ease
(/5)</t>
  </si>
  <si>
    <t>Purchase Conf
(/5)</t>
  </si>
  <si>
    <t>CHS
(/100)</t>
  </si>
  <si>
    <t>Grade</t>
  </si>
  <si>
    <t>Strongest
Parameter</t>
  </si>
  <si>
    <t>Weakest
Parameter</t>
  </si>
  <si>
    <t>RANKING</t>
  </si>
  <si>
    <t>NOTICE ORDER PATTERN — What observers see first / second / third</t>
  </si>
  <si>
    <t>Element Noticed</t>
  </si>
  <si>
    <t>1st Count</t>
  </si>
  <si>
    <t>2nd Count</t>
  </si>
  <si>
    <t>3rd Count</t>
  </si>
  <si>
    <t>1st %</t>
  </si>
  <si>
    <t>2nd %</t>
  </si>
  <si>
    <t>3rd %</t>
  </si>
  <si>
    <t>Benefit Claim</t>
  </si>
  <si>
    <t>Product Image</t>
  </si>
  <si>
    <t>Colour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</si>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</sst>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"/>
    </font>
    <font>
      <b/>
      <sz val="12"/>
      <color rgb="FFFFFFFF"/>
      <name val="Arial"/>
      <family val="2"/>
    </font>
    <font>
      <i/>
      <sz val="9"/>
      <color rgb="FF4A4A4A"/>
      <name val="Arial"/>
      <family val="2"/>
    </font>
    <font>
      <b/>
      <sz val="8"/>
      <color rgb="FFFFFFFF"/>
      <name val="Arial"/>
      <family val="2"/>
    </font>
    <font>
      <b/>
      <sz val="9"/>
      <color rgb="FF2C5F8A"/>
      <name val="Arial"/>
      <family val="2"/>
    </font>
    <font>
      <sz val="9"/>
      <color rgb="FF374151"/>
      <name val="Arial"/>
      <family val="2"/>
    </font>
    <font>
      <sz val="9"/>
      <color rgb="FF4A4A4A"/>
      <name val="Arial"/>
      <family val="2"/>
    </font>
    <font>
      <sz val="10"/>
      <color rgb="FF1A1A1A"/>
      <name val="Arial"/>
      <family val="2"/>
    </font>
    <font>
      <b/>
      <sz val="11"/>
      <color rgb="FF1A1A1A"/>
      <name val="Arial"/>
      <family val="2"/>
    </font>
    <font>
      <b/>
      <sz val="12"/>
      <color rgb="FF2C5F8A"/>
      <name val="Arial"/>
      <family val="2"/>
    </font>
    <font>
      <b/>
      <sz val="10"/>
      <color rgb="FF1A1A1A"/>
      <name val="Arial"/>
      <family val="2"/>
    </font>
    <font>
      <sz val="9"/>
      <color rgb="FF1A1A1A"/>
      <name val="Arial"/>
      <family val="2"/>
    </font>
    <font>
      <b/>
      <sz val="11"/>
      <color rgb="FF2C5F8A"/>
      <name val="Arial"/>
      <family val="2"/>
    </font>
    <font>
      <b/>
      <sz val="13"/>
      <color rgb="FF2C5F8A"/>
      <name val="Arial"/>
      <family val="2"/>
    </font>
    <font>
      <i/>
      <sz val="9"/>
      <color rgb="FF1A1A1A"/>
      <name val="Arial"/>
      <family val="2"/>
    </font>
    <font>
      <i/>
      <sz val="9"/>
      <color rgb="FFC0392B"/>
      <name val="Arial"/>
      <family val="2"/>
    </font>
    <font>
      <b/>
      <sz val="9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4A4A4A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2C5F8A"/>
        <bgColor rgb="FF374151"/>
      </patternFill>
    </fill>
    <fill>
      <patternFill patternType="solid">
        <fgColor rgb="FFEBF2FA"/>
        <bgColor rgb="FFEDEDF0"/>
      </patternFill>
    </fill>
    <fill>
      <patternFill patternType="solid">
        <fgColor rgb="FFF7F8FA"/>
        <bgColor rgb="FFF8FAFC"/>
      </patternFill>
    </fill>
    <fill>
      <patternFill patternType="solid">
        <fgColor rgb="FFF8FAFC"/>
        <bgColor rgb="FFF7F8FA"/>
      </patternFill>
    </fill>
    <fill>
      <patternFill patternType="solid">
        <fgColor rgb="FFFFFFFF"/>
        <bgColor rgb="FFF8FAFC"/>
      </patternFill>
    </fill>
    <fill>
      <patternFill patternType="solid">
        <fgColor rgb="FFEDEDF0"/>
        <bgColor rgb="FFEBF2FA"/>
      </patternFill>
    </fill>
    <fill>
      <patternFill patternType="solid">
        <fgColor rgb="FF4A4A4A"/>
        <bgColor rgb="FF374151"/>
      </patternFill>
    </fill>
  </fills>
  <borders count="4">
    <border>
      <left/>
      <right/>
      <top/>
      <bottom/>
      <diagonal/>
    </border>
    <border>
      <left style="thin">
        <color rgb="FFD8D8DC"/>
      </left>
      <right style="thin">
        <color rgb="FFD8D8DC"/>
      </right>
      <top style="thin">
        <color rgb="FFD8D8DC"/>
      </top>
      <bottom style="thin">
        <color rgb="FFD8D8DC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2C5F8A"/>
      </left>
      <right style="thin">
        <color rgb="FF2C5F8A"/>
      </right>
      <top style="thin">
        <color rgb="FF2C5F8A"/>
      </top>
      <bottom style="thin">
        <color rgb="FF2C5F8A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13" fillId="3" borderId="3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left" vertical="center"/>
    </xf>
    <xf numFmtId="0" fontId="14" fillId="6" borderId="1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left" vertical="center"/>
    </xf>
    <xf numFmtId="0" fontId="16" fillId="8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D8DC"/>
      <rgbColor rgb="FF808080"/>
      <rgbColor rgb="FF9999FF"/>
      <rgbColor rgb="FF993366"/>
      <rgbColor rgb="FFF7F8FA"/>
      <rgbColor rgb="FFEBF2FA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F0"/>
      <rgbColor rgb="FFF8FAF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2C5F8A"/>
      <rgbColor rgb="FF969696"/>
      <rgbColor rgb="FF003366"/>
      <rgbColor rgb="FF339966"/>
      <rgbColor rgb="FF003300"/>
      <rgbColor rgb="FF1A1A1A"/>
      <rgbColor rgb="FFC0392B"/>
      <rgbColor rgb="FF993366"/>
      <rgbColor rgb="FF4A4A4A"/>
      <rgbColor rgb="FF37415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4"/>
  <sheetViews>
    <sheetView showGridLines="0" topLeftCell="K1" zoomScale="68" zoomScaleNormal="66" workbookViewId="0">
      <pane ySplit="4" topLeftCell="A5" activePane="bottomLeft" state="frozen"/>
      <selection activeCell="B1" sqref="B1"/>
      <selection pane="bottomLeft" activeCell="N10" sqref="N10"/>
    </sheetView>
  </sheetViews>
  <sheetFormatPr defaultColWidth="8.6328125" defaultRowHeight="14.5" x14ac:dyDescent="0.35"/>
  <cols>
    <col min="1" max="1" width="8" customWidth="1"/>
    <col min="2" max="2" width="20" customWidth="1"/>
    <col min="3" max="3" width="12" customWidth="1"/>
    <col min="4" max="4" width="14" customWidth="1"/>
    <col min="5" max="5" width="12" customWidth="1"/>
    <col min="6" max="6" width="18" customWidth="1"/>
    <col min="7" max="7" width="16" customWidth="1"/>
    <col min="8" max="8" width="20" customWidth="1"/>
    <col min="9" max="9" width="14" customWidth="1"/>
    <col min="10" max="10" width="18" customWidth="1"/>
    <col min="11" max="11" width="14" customWidth="1"/>
    <col min="12" max="12" width="22" customWidth="1"/>
    <col min="13" max="13" width="14.26953125" customWidth="1"/>
    <col min="14" max="14" width="14.08984375" customWidth="1"/>
    <col min="15" max="17" width="16" customWidth="1"/>
    <col min="18" max="18" width="17.6328125" customWidth="1"/>
    <col min="19" max="19" width="19.26953125" customWidth="1"/>
    <col min="20" max="20" width="22" customWidth="1"/>
    <col min="21" max="21" width="18" customWidth="1"/>
  </cols>
  <sheetData>
    <row r="1" spans="1:21" ht="25.5" customHeight="1" x14ac:dyDescent="0.35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</row>
    <row r="2" spans="1:21" ht="13.5" customHeight="1" x14ac:dyDescent="0.35">
      <c r="A2" s="34" t="s">
        <v>1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</row>
    <row r="3" spans="1:21" ht="15.75" customHeight="1" x14ac:dyDescent="0.35">
      <c r="A3" s="35" t="s">
        <v>2</v>
      </c>
      <c r="B3" s="35"/>
      <c r="C3" s="35"/>
      <c r="D3" s="35"/>
      <c r="E3" s="35"/>
      <c r="F3" s="35"/>
      <c r="G3" s="35"/>
      <c r="H3" s="35" t="s">
        <v>3</v>
      </c>
      <c r="I3" s="35"/>
      <c r="J3" s="35"/>
      <c r="K3" s="35"/>
      <c r="L3" s="35" t="s">
        <v>4</v>
      </c>
      <c r="M3" s="35"/>
      <c r="N3" s="2" t="s">
        <v>5</v>
      </c>
      <c r="O3" s="35" t="s">
        <v>6</v>
      </c>
      <c r="P3" s="35"/>
      <c r="Q3" s="35"/>
      <c r="R3" s="35" t="s">
        <v>7</v>
      </c>
      <c r="S3" s="35"/>
      <c r="T3" s="35"/>
      <c r="U3" s="35"/>
    </row>
    <row r="4" spans="1:21" ht="31.5" customHeight="1" x14ac:dyDescent="0.35">
      <c r="A4" s="3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  <c r="H4" s="3" t="s">
        <v>15</v>
      </c>
      <c r="I4" s="3" t="s">
        <v>16</v>
      </c>
      <c r="J4" s="3" t="s">
        <v>17</v>
      </c>
      <c r="K4" s="3" t="s">
        <v>18</v>
      </c>
      <c r="L4" s="3" t="s">
        <v>19</v>
      </c>
      <c r="M4" s="3" t="s">
        <v>20</v>
      </c>
      <c r="N4" s="3" t="s">
        <v>21</v>
      </c>
      <c r="O4" s="3" t="s">
        <v>22</v>
      </c>
      <c r="P4" s="3" t="s">
        <v>23</v>
      </c>
      <c r="Q4" s="3" t="s">
        <v>24</v>
      </c>
      <c r="R4" s="3" t="s">
        <v>25</v>
      </c>
      <c r="S4" s="3" t="s">
        <v>26</v>
      </c>
      <c r="T4" s="3" t="s">
        <v>27</v>
      </c>
      <c r="U4" s="3" t="s">
        <v>28</v>
      </c>
    </row>
    <row r="5" spans="1:21" ht="19.5" customHeight="1" x14ac:dyDescent="0.35">
      <c r="A5" s="4">
        <v>1</v>
      </c>
      <c r="B5" s="5" t="s">
        <v>29</v>
      </c>
      <c r="C5" s="5" t="s">
        <v>30</v>
      </c>
      <c r="D5" s="5" t="s">
        <v>31</v>
      </c>
      <c r="E5" s="4" t="s">
        <v>32</v>
      </c>
      <c r="F5" s="4" t="s">
        <v>33</v>
      </c>
      <c r="G5" s="4" t="s">
        <v>34</v>
      </c>
      <c r="H5" s="5" t="s">
        <v>35</v>
      </c>
      <c r="I5" s="4" t="s">
        <v>36</v>
      </c>
      <c r="J5" s="5" t="s">
        <v>37</v>
      </c>
      <c r="K5" s="4" t="s">
        <v>32</v>
      </c>
      <c r="L5" s="5" t="s">
        <v>38</v>
      </c>
      <c r="M5" s="4">
        <v>3</v>
      </c>
      <c r="N5" s="4">
        <v>3</v>
      </c>
      <c r="O5" s="4" t="s">
        <v>39</v>
      </c>
      <c r="P5" s="4" t="s">
        <v>40</v>
      </c>
      <c r="Q5" s="4" t="s">
        <v>41</v>
      </c>
      <c r="R5" s="4">
        <v>3</v>
      </c>
      <c r="S5" s="4">
        <v>3</v>
      </c>
      <c r="T5" s="5" t="s">
        <v>42</v>
      </c>
      <c r="U5" s="4">
        <v>5</v>
      </c>
    </row>
    <row r="6" spans="1:21" ht="19.5" customHeight="1" x14ac:dyDescent="0.35">
      <c r="A6" s="6">
        <v>2</v>
      </c>
      <c r="B6" s="7" t="s">
        <v>43</v>
      </c>
      <c r="C6" s="7" t="s">
        <v>44</v>
      </c>
      <c r="D6" s="7" t="s">
        <v>45</v>
      </c>
      <c r="E6" s="6" t="s">
        <v>32</v>
      </c>
      <c r="F6" s="6" t="s">
        <v>46</v>
      </c>
      <c r="G6" s="6" t="s">
        <v>47</v>
      </c>
      <c r="H6" s="7" t="s">
        <v>35</v>
      </c>
      <c r="I6" s="6" t="s">
        <v>32</v>
      </c>
      <c r="J6" s="7" t="s">
        <v>48</v>
      </c>
      <c r="K6" s="6" t="s">
        <v>32</v>
      </c>
      <c r="L6" s="7" t="s">
        <v>49</v>
      </c>
      <c r="M6" s="6">
        <v>5</v>
      </c>
      <c r="N6" s="6">
        <v>5</v>
      </c>
      <c r="O6" s="6" t="s">
        <v>50</v>
      </c>
      <c r="P6" s="6" t="s">
        <v>51</v>
      </c>
      <c r="Q6" s="6" t="s">
        <v>52</v>
      </c>
      <c r="R6" s="6">
        <v>5</v>
      </c>
      <c r="S6" s="6">
        <v>3</v>
      </c>
      <c r="T6" s="7" t="s">
        <v>53</v>
      </c>
      <c r="U6" s="6">
        <v>4</v>
      </c>
    </row>
    <row r="7" spans="1:21" ht="19.5" customHeight="1" x14ac:dyDescent="0.35">
      <c r="A7" s="4">
        <v>3</v>
      </c>
      <c r="B7" s="5" t="s">
        <v>54</v>
      </c>
      <c r="C7" s="5" t="s">
        <v>55</v>
      </c>
      <c r="D7" s="5" t="s">
        <v>56</v>
      </c>
      <c r="E7" s="4" t="s">
        <v>32</v>
      </c>
      <c r="F7" s="4" t="s">
        <v>57</v>
      </c>
      <c r="G7" s="4" t="s">
        <v>47</v>
      </c>
      <c r="H7" s="5" t="s">
        <v>35</v>
      </c>
      <c r="I7" s="4" t="s">
        <v>32</v>
      </c>
      <c r="J7" s="5" t="s">
        <v>58</v>
      </c>
      <c r="K7" s="4" t="s">
        <v>32</v>
      </c>
      <c r="L7" s="5" t="s">
        <v>59</v>
      </c>
      <c r="M7" s="4">
        <v>3</v>
      </c>
      <c r="N7" s="4">
        <v>5</v>
      </c>
      <c r="O7" s="4" t="s">
        <v>60</v>
      </c>
      <c r="P7" s="4" t="s">
        <v>50</v>
      </c>
      <c r="Q7" s="4" t="s">
        <v>61</v>
      </c>
      <c r="R7" s="4">
        <v>3</v>
      </c>
      <c r="S7" s="4">
        <v>1</v>
      </c>
      <c r="T7" s="5" t="s">
        <v>62</v>
      </c>
      <c r="U7" s="4">
        <v>5</v>
      </c>
    </row>
    <row r="8" spans="1:21" ht="19.5" customHeight="1" x14ac:dyDescent="0.35">
      <c r="A8" s="6">
        <v>4</v>
      </c>
      <c r="B8" s="7" t="s">
        <v>63</v>
      </c>
      <c r="C8" s="7" t="s">
        <v>64</v>
      </c>
      <c r="D8" s="7" t="s">
        <v>65</v>
      </c>
      <c r="E8" s="6" t="s">
        <v>32</v>
      </c>
      <c r="F8" s="6" t="s">
        <v>46</v>
      </c>
      <c r="G8" s="6" t="s">
        <v>66</v>
      </c>
      <c r="H8" s="7" t="s">
        <v>67</v>
      </c>
      <c r="I8" s="6" t="s">
        <v>32</v>
      </c>
      <c r="J8" s="7" t="s">
        <v>68</v>
      </c>
      <c r="K8" s="6" t="s">
        <v>36</v>
      </c>
      <c r="L8" s="7" t="s">
        <v>69</v>
      </c>
      <c r="M8" s="6">
        <v>4</v>
      </c>
      <c r="N8" s="6">
        <v>2</v>
      </c>
      <c r="O8" s="6" t="s">
        <v>51</v>
      </c>
      <c r="P8" s="6" t="s">
        <v>39</v>
      </c>
      <c r="Q8" s="6" t="s">
        <v>50</v>
      </c>
      <c r="R8" s="6">
        <v>4</v>
      </c>
      <c r="S8" s="6">
        <v>2</v>
      </c>
      <c r="T8" s="7" t="s">
        <v>62</v>
      </c>
      <c r="U8" s="6">
        <v>4</v>
      </c>
    </row>
    <row r="9" spans="1:21" ht="19.5" customHeight="1" x14ac:dyDescent="0.35">
      <c r="A9" s="4">
        <v>5</v>
      </c>
      <c r="B9" s="5" t="s">
        <v>70</v>
      </c>
      <c r="C9" s="5" t="s">
        <v>71</v>
      </c>
      <c r="D9" s="5" t="s">
        <v>72</v>
      </c>
      <c r="E9" s="4" t="s">
        <v>32</v>
      </c>
      <c r="F9" s="4" t="s">
        <v>57</v>
      </c>
      <c r="G9" s="4" t="s">
        <v>34</v>
      </c>
      <c r="H9" s="5" t="s">
        <v>73</v>
      </c>
      <c r="I9" s="4" t="s">
        <v>32</v>
      </c>
      <c r="J9" s="5" t="s">
        <v>74</v>
      </c>
      <c r="K9" s="4" t="s">
        <v>36</v>
      </c>
      <c r="L9" s="5" t="s">
        <v>75</v>
      </c>
      <c r="M9" s="4">
        <v>3</v>
      </c>
      <c r="N9" s="4">
        <v>3</v>
      </c>
      <c r="O9" s="4" t="s">
        <v>52</v>
      </c>
      <c r="P9" s="4" t="s">
        <v>76</v>
      </c>
      <c r="Q9" s="4" t="s">
        <v>61</v>
      </c>
      <c r="R9" s="4">
        <v>4</v>
      </c>
      <c r="S9" s="4">
        <v>2</v>
      </c>
      <c r="T9" s="5" t="s">
        <v>62</v>
      </c>
      <c r="U9" s="4">
        <v>5</v>
      </c>
    </row>
    <row r="10" spans="1:21" ht="19.5" customHeight="1" x14ac:dyDescent="0.35">
      <c r="A10" s="6">
        <v>6</v>
      </c>
      <c r="B10" s="7" t="s">
        <v>77</v>
      </c>
      <c r="C10" s="7" t="s">
        <v>78</v>
      </c>
      <c r="D10" s="7" t="s">
        <v>79</v>
      </c>
      <c r="E10" s="6" t="s">
        <v>32</v>
      </c>
      <c r="F10" s="6" t="s">
        <v>46</v>
      </c>
      <c r="G10" s="6" t="s">
        <v>80</v>
      </c>
      <c r="H10" s="7" t="s">
        <v>81</v>
      </c>
      <c r="I10" s="6" t="s">
        <v>32</v>
      </c>
      <c r="J10" s="7" t="s">
        <v>82</v>
      </c>
      <c r="K10" s="6" t="s">
        <v>32</v>
      </c>
      <c r="L10" s="7" t="s">
        <v>83</v>
      </c>
      <c r="M10" s="6">
        <v>3</v>
      </c>
      <c r="N10" s="6">
        <v>3</v>
      </c>
      <c r="O10" s="6" t="s">
        <v>50</v>
      </c>
      <c r="P10" s="6" t="s">
        <v>61</v>
      </c>
      <c r="Q10" s="6" t="s">
        <v>39</v>
      </c>
      <c r="R10" s="6">
        <v>3</v>
      </c>
      <c r="S10" s="6">
        <v>2</v>
      </c>
      <c r="T10" s="7" t="s">
        <v>62</v>
      </c>
      <c r="U10" s="6">
        <v>3</v>
      </c>
    </row>
    <row r="11" spans="1:21" ht="19.5" customHeight="1" x14ac:dyDescent="0.35">
      <c r="A11" s="4">
        <v>7</v>
      </c>
      <c r="B11" s="5" t="s">
        <v>84</v>
      </c>
      <c r="C11" s="5" t="s">
        <v>71</v>
      </c>
      <c r="D11" s="5" t="s">
        <v>65</v>
      </c>
      <c r="E11" s="4" t="s">
        <v>32</v>
      </c>
      <c r="F11" s="4" t="s">
        <v>46</v>
      </c>
      <c r="G11" s="4" t="s">
        <v>80</v>
      </c>
      <c r="H11" s="5" t="s">
        <v>81</v>
      </c>
      <c r="I11" s="4" t="s">
        <v>32</v>
      </c>
      <c r="J11" s="5" t="s">
        <v>82</v>
      </c>
      <c r="K11" s="4" t="s">
        <v>32</v>
      </c>
      <c r="L11" s="5" t="s">
        <v>85</v>
      </c>
      <c r="M11" s="4">
        <v>3</v>
      </c>
      <c r="N11" s="4">
        <v>3</v>
      </c>
      <c r="O11" s="4" t="s">
        <v>60</v>
      </c>
      <c r="P11" s="4" t="s">
        <v>86</v>
      </c>
      <c r="Q11" s="4" t="s">
        <v>40</v>
      </c>
      <c r="R11" s="4">
        <v>3</v>
      </c>
      <c r="S11" s="4">
        <v>1</v>
      </c>
      <c r="T11" s="5" t="s">
        <v>62</v>
      </c>
      <c r="U11" s="4">
        <v>4</v>
      </c>
    </row>
    <row r="12" spans="1:21" ht="19.5" customHeight="1" x14ac:dyDescent="0.35">
      <c r="A12" s="6">
        <v>8</v>
      </c>
      <c r="B12" s="7" t="s">
        <v>87</v>
      </c>
      <c r="C12" s="7" t="s">
        <v>88</v>
      </c>
      <c r="D12" s="7" t="s">
        <v>72</v>
      </c>
      <c r="E12" s="6" t="s">
        <v>32</v>
      </c>
      <c r="F12" s="6" t="s">
        <v>57</v>
      </c>
      <c r="G12" s="6" t="s">
        <v>47</v>
      </c>
      <c r="H12" s="7" t="s">
        <v>35</v>
      </c>
      <c r="I12" s="6" t="s">
        <v>32</v>
      </c>
      <c r="J12" s="7" t="s">
        <v>58</v>
      </c>
      <c r="K12" s="6" t="s">
        <v>36</v>
      </c>
      <c r="L12" s="7" t="s">
        <v>89</v>
      </c>
      <c r="M12" s="6">
        <v>3</v>
      </c>
      <c r="N12" s="6">
        <v>4</v>
      </c>
      <c r="O12" s="6" t="s">
        <v>51</v>
      </c>
      <c r="P12" s="6" t="s">
        <v>39</v>
      </c>
      <c r="Q12" s="6" t="s">
        <v>61</v>
      </c>
      <c r="R12" s="6">
        <v>4</v>
      </c>
      <c r="S12" s="6">
        <v>3</v>
      </c>
      <c r="T12" s="7" t="s">
        <v>90</v>
      </c>
      <c r="U12" s="6">
        <v>5</v>
      </c>
    </row>
    <row r="13" spans="1:21" ht="19.5" customHeight="1" x14ac:dyDescent="0.35">
      <c r="A13" s="4">
        <v>9</v>
      </c>
      <c r="B13" s="5" t="s">
        <v>91</v>
      </c>
      <c r="C13" s="5" t="s">
        <v>92</v>
      </c>
      <c r="D13" s="5" t="s">
        <v>93</v>
      </c>
      <c r="E13" s="4" t="s">
        <v>32</v>
      </c>
      <c r="F13" s="4" t="s">
        <v>46</v>
      </c>
      <c r="G13" s="4" t="s">
        <v>47</v>
      </c>
      <c r="H13" s="5" t="s">
        <v>35</v>
      </c>
      <c r="I13" s="4" t="s">
        <v>32</v>
      </c>
      <c r="J13" s="5" t="s">
        <v>58</v>
      </c>
      <c r="K13" s="4" t="s">
        <v>32</v>
      </c>
      <c r="L13" s="5" t="s">
        <v>49</v>
      </c>
      <c r="M13" s="4">
        <v>3</v>
      </c>
      <c r="N13" s="4">
        <v>5</v>
      </c>
      <c r="O13" s="4" t="s">
        <v>60</v>
      </c>
      <c r="P13" s="4" t="s">
        <v>86</v>
      </c>
      <c r="Q13" s="4" t="s">
        <v>76</v>
      </c>
      <c r="R13" s="4">
        <v>3</v>
      </c>
      <c r="S13" s="4">
        <v>1</v>
      </c>
      <c r="T13" s="5" t="s">
        <v>62</v>
      </c>
      <c r="U13" s="4">
        <v>5</v>
      </c>
    </row>
    <row r="14" spans="1:21" ht="19.5" customHeight="1" x14ac:dyDescent="0.35">
      <c r="A14" s="6">
        <v>10</v>
      </c>
      <c r="B14" s="7" t="s">
        <v>94</v>
      </c>
      <c r="C14" s="7" t="s">
        <v>95</v>
      </c>
      <c r="D14" s="7" t="s">
        <v>96</v>
      </c>
      <c r="E14" s="6" t="s">
        <v>32</v>
      </c>
      <c r="F14" s="6" t="s">
        <v>33</v>
      </c>
      <c r="G14" s="6" t="s">
        <v>47</v>
      </c>
      <c r="H14" s="7" t="s">
        <v>35</v>
      </c>
      <c r="I14" s="6" t="s">
        <v>32</v>
      </c>
      <c r="J14" s="7" t="s">
        <v>48</v>
      </c>
      <c r="K14" s="6" t="s">
        <v>32</v>
      </c>
      <c r="L14" s="7" t="s">
        <v>97</v>
      </c>
      <c r="M14" s="6">
        <v>3</v>
      </c>
      <c r="N14" s="6">
        <v>3</v>
      </c>
      <c r="O14" s="6" t="s">
        <v>40</v>
      </c>
      <c r="P14" s="6" t="s">
        <v>61</v>
      </c>
      <c r="Q14" s="6" t="s">
        <v>50</v>
      </c>
      <c r="R14" s="6">
        <v>4</v>
      </c>
      <c r="S14" s="6">
        <v>1</v>
      </c>
      <c r="T14" s="7" t="s">
        <v>62</v>
      </c>
      <c r="U14" s="6">
        <v>5</v>
      </c>
    </row>
    <row r="15" spans="1:21" ht="19.5" customHeight="1" x14ac:dyDescent="0.35">
      <c r="A15" s="4">
        <v>11</v>
      </c>
      <c r="B15" s="5" t="s">
        <v>98</v>
      </c>
      <c r="C15" s="5" t="s">
        <v>99</v>
      </c>
      <c r="D15" s="5" t="s">
        <v>93</v>
      </c>
      <c r="E15" s="4" t="s">
        <v>32</v>
      </c>
      <c r="F15" s="4" t="s">
        <v>57</v>
      </c>
      <c r="G15" s="4" t="s">
        <v>47</v>
      </c>
      <c r="H15" s="5" t="s">
        <v>35</v>
      </c>
      <c r="I15" s="4" t="s">
        <v>32</v>
      </c>
      <c r="J15" s="5" t="s">
        <v>82</v>
      </c>
      <c r="K15" s="4" t="s">
        <v>32</v>
      </c>
      <c r="L15" s="5" t="s">
        <v>89</v>
      </c>
      <c r="M15" s="4">
        <v>5</v>
      </c>
      <c r="N15" s="4">
        <v>5</v>
      </c>
      <c r="O15" s="4" t="s">
        <v>61</v>
      </c>
      <c r="P15" s="4" t="s">
        <v>60</v>
      </c>
      <c r="Q15" s="4" t="s">
        <v>76</v>
      </c>
      <c r="R15" s="4">
        <v>4</v>
      </c>
      <c r="S15" s="4">
        <v>1</v>
      </c>
      <c r="T15" s="5" t="s">
        <v>62</v>
      </c>
      <c r="U15" s="4">
        <v>5</v>
      </c>
    </row>
    <row r="16" spans="1:21" ht="19.5" customHeight="1" x14ac:dyDescent="0.35">
      <c r="A16" s="6">
        <v>12</v>
      </c>
      <c r="B16" s="7" t="s">
        <v>100</v>
      </c>
      <c r="C16" s="7" t="s">
        <v>78</v>
      </c>
      <c r="D16" s="7" t="s">
        <v>56</v>
      </c>
      <c r="E16" s="6" t="s">
        <v>32</v>
      </c>
      <c r="F16" s="6" t="s">
        <v>46</v>
      </c>
      <c r="G16" s="6" t="s">
        <v>66</v>
      </c>
      <c r="H16" s="7" t="s">
        <v>67</v>
      </c>
      <c r="I16" s="6" t="s">
        <v>32</v>
      </c>
      <c r="J16" s="7" t="s">
        <v>68</v>
      </c>
      <c r="K16" s="6" t="s">
        <v>32</v>
      </c>
      <c r="L16" s="7" t="s">
        <v>101</v>
      </c>
      <c r="M16" s="6">
        <v>3</v>
      </c>
      <c r="N16" s="6">
        <v>3</v>
      </c>
      <c r="O16" s="6" t="s">
        <v>40</v>
      </c>
      <c r="P16" s="6" t="s">
        <v>86</v>
      </c>
      <c r="Q16" s="6" t="s">
        <v>39</v>
      </c>
      <c r="R16" s="6">
        <v>4</v>
      </c>
      <c r="S16" s="6">
        <v>4</v>
      </c>
      <c r="T16" s="7" t="s">
        <v>102</v>
      </c>
      <c r="U16" s="6">
        <v>2</v>
      </c>
    </row>
    <row r="17" spans="1:21" ht="19.5" customHeight="1" x14ac:dyDescent="0.35">
      <c r="A17" s="4">
        <v>13</v>
      </c>
      <c r="B17" s="5" t="s">
        <v>103</v>
      </c>
      <c r="C17" s="5" t="s">
        <v>104</v>
      </c>
      <c r="D17" s="5" t="s">
        <v>31</v>
      </c>
      <c r="E17" s="4" t="s">
        <v>32</v>
      </c>
      <c r="F17" s="4" t="s">
        <v>33</v>
      </c>
      <c r="G17" s="4" t="s">
        <v>66</v>
      </c>
      <c r="H17" s="5" t="s">
        <v>67</v>
      </c>
      <c r="I17" s="4" t="s">
        <v>32</v>
      </c>
      <c r="J17" s="5" t="s">
        <v>68</v>
      </c>
      <c r="K17" s="4" t="s">
        <v>32</v>
      </c>
      <c r="L17" s="5" t="s">
        <v>101</v>
      </c>
      <c r="M17" s="4">
        <v>2</v>
      </c>
      <c r="N17" s="4">
        <v>2</v>
      </c>
      <c r="O17" s="4" t="s">
        <v>76</v>
      </c>
      <c r="P17" s="4" t="s">
        <v>51</v>
      </c>
      <c r="Q17" s="4" t="s">
        <v>41</v>
      </c>
      <c r="R17" s="4">
        <v>3</v>
      </c>
      <c r="S17" s="4">
        <v>4</v>
      </c>
      <c r="T17" s="5" t="s">
        <v>105</v>
      </c>
      <c r="U17" s="4">
        <v>4</v>
      </c>
    </row>
    <row r="18" spans="1:21" ht="19.5" customHeight="1" x14ac:dyDescent="0.35">
      <c r="A18" s="6">
        <v>14</v>
      </c>
      <c r="B18" s="7" t="s">
        <v>106</v>
      </c>
      <c r="C18" s="7" t="s">
        <v>107</v>
      </c>
      <c r="D18" s="7" t="s">
        <v>108</v>
      </c>
      <c r="E18" s="6" t="s">
        <v>32</v>
      </c>
      <c r="F18" s="6" t="s">
        <v>46</v>
      </c>
      <c r="G18" s="6" t="s">
        <v>34</v>
      </c>
      <c r="H18" s="7" t="s">
        <v>73</v>
      </c>
      <c r="I18" s="6" t="s">
        <v>32</v>
      </c>
      <c r="J18" s="7" t="s">
        <v>82</v>
      </c>
      <c r="K18" s="6" t="s">
        <v>32</v>
      </c>
      <c r="L18" s="7" t="s">
        <v>38</v>
      </c>
      <c r="M18" s="6">
        <v>4</v>
      </c>
      <c r="N18" s="6">
        <v>5</v>
      </c>
      <c r="O18" s="6" t="s">
        <v>40</v>
      </c>
      <c r="P18" s="6" t="s">
        <v>41</v>
      </c>
      <c r="Q18" s="6" t="s">
        <v>51</v>
      </c>
      <c r="R18" s="6">
        <v>3</v>
      </c>
      <c r="S18" s="6">
        <v>1</v>
      </c>
      <c r="T18" s="7" t="s">
        <v>62</v>
      </c>
      <c r="U18" s="6">
        <v>5</v>
      </c>
    </row>
    <row r="19" spans="1:21" ht="19.5" customHeight="1" x14ac:dyDescent="0.35">
      <c r="A19" s="4">
        <v>15</v>
      </c>
      <c r="B19" s="5" t="s">
        <v>109</v>
      </c>
      <c r="C19" s="5" t="s">
        <v>110</v>
      </c>
      <c r="D19" s="5" t="s">
        <v>108</v>
      </c>
      <c r="E19" s="4" t="s">
        <v>32</v>
      </c>
      <c r="F19" s="4" t="s">
        <v>57</v>
      </c>
      <c r="G19" s="4" t="s">
        <v>34</v>
      </c>
      <c r="H19" s="5" t="s">
        <v>73</v>
      </c>
      <c r="I19" s="4" t="s">
        <v>32</v>
      </c>
      <c r="J19" s="5" t="s">
        <v>111</v>
      </c>
      <c r="K19" s="4" t="s">
        <v>32</v>
      </c>
      <c r="L19" s="5" t="s">
        <v>112</v>
      </c>
      <c r="M19" s="4">
        <v>3</v>
      </c>
      <c r="N19" s="4">
        <v>5</v>
      </c>
      <c r="O19" s="4" t="s">
        <v>51</v>
      </c>
      <c r="P19" s="4" t="s">
        <v>60</v>
      </c>
      <c r="Q19" s="4" t="s">
        <v>39</v>
      </c>
      <c r="R19" s="4">
        <v>4</v>
      </c>
      <c r="S19" s="4">
        <v>1</v>
      </c>
      <c r="T19" s="5" t="s">
        <v>62</v>
      </c>
      <c r="U19" s="4">
        <v>3</v>
      </c>
    </row>
    <row r="20" spans="1:21" ht="19.5" customHeight="1" x14ac:dyDescent="0.35">
      <c r="A20" s="6">
        <v>16</v>
      </c>
      <c r="B20" s="7" t="s">
        <v>113</v>
      </c>
      <c r="C20" s="7" t="s">
        <v>114</v>
      </c>
      <c r="D20" s="7" t="s">
        <v>96</v>
      </c>
      <c r="E20" s="6" t="s">
        <v>32</v>
      </c>
      <c r="F20" s="6" t="s">
        <v>57</v>
      </c>
      <c r="G20" s="6" t="s">
        <v>66</v>
      </c>
      <c r="H20" s="7" t="s">
        <v>67</v>
      </c>
      <c r="I20" s="6" t="s">
        <v>32</v>
      </c>
      <c r="J20" s="7" t="s">
        <v>68</v>
      </c>
      <c r="K20" s="6" t="s">
        <v>32</v>
      </c>
      <c r="L20" s="7" t="s">
        <v>101</v>
      </c>
      <c r="M20" s="6">
        <v>2</v>
      </c>
      <c r="N20" s="6">
        <v>4</v>
      </c>
      <c r="O20" s="6" t="s">
        <v>51</v>
      </c>
      <c r="P20" s="6" t="s">
        <v>41</v>
      </c>
      <c r="Q20" s="6" t="s">
        <v>39</v>
      </c>
      <c r="R20" s="6">
        <v>4</v>
      </c>
      <c r="S20" s="6">
        <v>4</v>
      </c>
      <c r="T20" s="7" t="s">
        <v>115</v>
      </c>
      <c r="U20" s="6">
        <v>4</v>
      </c>
    </row>
    <row r="21" spans="1:21" ht="19.5" customHeight="1" x14ac:dyDescent="0.35">
      <c r="A21" s="4">
        <v>17</v>
      </c>
      <c r="B21" s="5" t="s">
        <v>116</v>
      </c>
      <c r="C21" s="5" t="s">
        <v>117</v>
      </c>
      <c r="D21" s="5" t="s">
        <v>31</v>
      </c>
      <c r="E21" s="4" t="s">
        <v>32</v>
      </c>
      <c r="F21" s="4" t="s">
        <v>33</v>
      </c>
      <c r="G21" s="4" t="s">
        <v>80</v>
      </c>
      <c r="H21" s="5" t="s">
        <v>81</v>
      </c>
      <c r="I21" s="4" t="s">
        <v>32</v>
      </c>
      <c r="J21" s="5" t="s">
        <v>58</v>
      </c>
      <c r="K21" s="4" t="s">
        <v>32</v>
      </c>
      <c r="L21" s="5" t="s">
        <v>83</v>
      </c>
      <c r="M21" s="4">
        <v>5</v>
      </c>
      <c r="N21" s="4">
        <v>5</v>
      </c>
      <c r="O21" s="4" t="s">
        <v>41</v>
      </c>
      <c r="P21" s="4" t="s">
        <v>52</v>
      </c>
      <c r="Q21" s="4" t="s">
        <v>61</v>
      </c>
      <c r="R21" s="4">
        <v>3</v>
      </c>
      <c r="S21" s="4">
        <v>2</v>
      </c>
      <c r="T21" s="5" t="s">
        <v>62</v>
      </c>
      <c r="U21" s="4">
        <v>4</v>
      </c>
    </row>
    <row r="22" spans="1:21" ht="19.5" customHeight="1" x14ac:dyDescent="0.35">
      <c r="A22" s="6">
        <v>18</v>
      </c>
      <c r="B22" s="7" t="s">
        <v>118</v>
      </c>
      <c r="C22" s="7" t="s">
        <v>119</v>
      </c>
      <c r="D22" s="7" t="s">
        <v>120</v>
      </c>
      <c r="E22" s="6" t="s">
        <v>32</v>
      </c>
      <c r="F22" s="6" t="s">
        <v>33</v>
      </c>
      <c r="G22" s="6" t="s">
        <v>47</v>
      </c>
      <c r="H22" s="7" t="s">
        <v>81</v>
      </c>
      <c r="I22" s="6" t="s">
        <v>36</v>
      </c>
      <c r="J22" s="7" t="s">
        <v>74</v>
      </c>
      <c r="K22" s="6" t="s">
        <v>32</v>
      </c>
      <c r="L22" s="7" t="s">
        <v>49</v>
      </c>
      <c r="M22" s="6">
        <v>5</v>
      </c>
      <c r="N22" s="6">
        <v>3</v>
      </c>
      <c r="O22" s="6" t="s">
        <v>76</v>
      </c>
      <c r="P22" s="6" t="s">
        <v>60</v>
      </c>
      <c r="Q22" s="6" t="s">
        <v>52</v>
      </c>
      <c r="R22" s="6">
        <v>5</v>
      </c>
      <c r="S22" s="6">
        <v>3</v>
      </c>
      <c r="T22" s="7" t="s">
        <v>121</v>
      </c>
      <c r="U22" s="6">
        <v>3</v>
      </c>
    </row>
    <row r="23" spans="1:21" ht="19.5" customHeight="1" x14ac:dyDescent="0.35">
      <c r="A23" s="4">
        <v>19</v>
      </c>
      <c r="B23" s="5" t="s">
        <v>122</v>
      </c>
      <c r="C23" s="5" t="s">
        <v>123</v>
      </c>
      <c r="D23" s="5" t="s">
        <v>79</v>
      </c>
      <c r="E23" s="4" t="s">
        <v>32</v>
      </c>
      <c r="F23" s="4" t="s">
        <v>33</v>
      </c>
      <c r="G23" s="4" t="s">
        <v>34</v>
      </c>
      <c r="H23" s="5" t="s">
        <v>73</v>
      </c>
      <c r="I23" s="4" t="s">
        <v>32</v>
      </c>
      <c r="J23" s="5" t="s">
        <v>82</v>
      </c>
      <c r="K23" s="4" t="s">
        <v>36</v>
      </c>
      <c r="L23" s="5" t="s">
        <v>75</v>
      </c>
      <c r="M23" s="4">
        <v>4</v>
      </c>
      <c r="N23" s="4">
        <v>4</v>
      </c>
      <c r="O23" s="4" t="s">
        <v>50</v>
      </c>
      <c r="P23" s="4" t="s">
        <v>51</v>
      </c>
      <c r="Q23" s="4" t="s">
        <v>41</v>
      </c>
      <c r="R23" s="4">
        <v>5</v>
      </c>
      <c r="S23" s="4">
        <v>1</v>
      </c>
      <c r="T23" s="5" t="s">
        <v>62</v>
      </c>
      <c r="U23" s="4">
        <v>4</v>
      </c>
    </row>
    <row r="24" spans="1:21" ht="19.5" customHeight="1" x14ac:dyDescent="0.35">
      <c r="A24" s="6">
        <v>20</v>
      </c>
      <c r="B24" s="7" t="s">
        <v>124</v>
      </c>
      <c r="C24" s="7" t="s">
        <v>125</v>
      </c>
      <c r="D24" s="7" t="s">
        <v>120</v>
      </c>
      <c r="E24" s="6" t="s">
        <v>32</v>
      </c>
      <c r="F24" s="6" t="s">
        <v>46</v>
      </c>
      <c r="G24" s="6" t="s">
        <v>80</v>
      </c>
      <c r="H24" s="7" t="s">
        <v>81</v>
      </c>
      <c r="I24" s="6" t="s">
        <v>32</v>
      </c>
      <c r="J24" s="7" t="s">
        <v>126</v>
      </c>
      <c r="K24" s="6" t="s">
        <v>32</v>
      </c>
      <c r="L24" s="7" t="s">
        <v>127</v>
      </c>
      <c r="M24" s="6">
        <v>4</v>
      </c>
      <c r="N24" s="6">
        <v>4</v>
      </c>
      <c r="O24" s="6" t="s">
        <v>50</v>
      </c>
      <c r="P24" s="6" t="s">
        <v>61</v>
      </c>
      <c r="Q24" s="6" t="s">
        <v>86</v>
      </c>
      <c r="R24" s="6">
        <v>5</v>
      </c>
      <c r="S24" s="6">
        <v>1</v>
      </c>
      <c r="T24" s="7" t="s">
        <v>62</v>
      </c>
      <c r="U24" s="6">
        <v>4</v>
      </c>
    </row>
    <row r="25" spans="1:21" ht="19.5" customHeight="1" x14ac:dyDescent="0.35">
      <c r="A25" s="4">
        <v>21</v>
      </c>
      <c r="B25" s="5" t="s">
        <v>128</v>
      </c>
      <c r="C25" s="5" t="s">
        <v>123</v>
      </c>
      <c r="D25" s="5" t="s">
        <v>79</v>
      </c>
      <c r="E25" s="4" t="s">
        <v>32</v>
      </c>
      <c r="F25" s="4" t="s">
        <v>46</v>
      </c>
      <c r="G25" s="4" t="s">
        <v>34</v>
      </c>
      <c r="H25" s="5" t="s">
        <v>73</v>
      </c>
      <c r="I25" s="4" t="s">
        <v>32</v>
      </c>
      <c r="J25" s="5" t="s">
        <v>111</v>
      </c>
      <c r="K25" s="4" t="s">
        <v>36</v>
      </c>
      <c r="L25" s="5" t="s">
        <v>112</v>
      </c>
      <c r="M25" s="4">
        <v>4</v>
      </c>
      <c r="N25" s="4">
        <v>5</v>
      </c>
      <c r="O25" s="4" t="s">
        <v>60</v>
      </c>
      <c r="P25" s="4" t="s">
        <v>76</v>
      </c>
      <c r="Q25" s="4" t="s">
        <v>86</v>
      </c>
      <c r="R25" s="4">
        <v>3</v>
      </c>
      <c r="S25" s="4">
        <v>2</v>
      </c>
      <c r="T25" s="5" t="s">
        <v>62</v>
      </c>
      <c r="U25" s="4">
        <v>3</v>
      </c>
    </row>
    <row r="26" spans="1:21" ht="19.5" customHeight="1" x14ac:dyDescent="0.35">
      <c r="A26" s="6">
        <v>22</v>
      </c>
      <c r="B26" s="7" t="s">
        <v>129</v>
      </c>
      <c r="C26" s="7" t="s">
        <v>130</v>
      </c>
      <c r="D26" s="7" t="s">
        <v>45</v>
      </c>
      <c r="E26" s="6" t="s">
        <v>32</v>
      </c>
      <c r="F26" s="6" t="s">
        <v>57</v>
      </c>
      <c r="G26" s="6" t="s">
        <v>66</v>
      </c>
      <c r="H26" s="7" t="s">
        <v>35</v>
      </c>
      <c r="I26" s="6" t="s">
        <v>36</v>
      </c>
      <c r="J26" s="7" t="s">
        <v>82</v>
      </c>
      <c r="K26" s="6" t="s">
        <v>32</v>
      </c>
      <c r="L26" s="7" t="s">
        <v>131</v>
      </c>
      <c r="M26" s="6">
        <v>3</v>
      </c>
      <c r="N26" s="6">
        <v>4</v>
      </c>
      <c r="O26" s="6" t="s">
        <v>76</v>
      </c>
      <c r="P26" s="6" t="s">
        <v>52</v>
      </c>
      <c r="Q26" s="6" t="s">
        <v>40</v>
      </c>
      <c r="R26" s="6">
        <v>3</v>
      </c>
      <c r="S26" s="6">
        <v>4</v>
      </c>
      <c r="T26" s="7" t="s">
        <v>132</v>
      </c>
      <c r="U26" s="6">
        <v>3</v>
      </c>
    </row>
    <row r="27" spans="1:21" ht="19.5" customHeight="1" x14ac:dyDescent="0.35">
      <c r="A27" s="4">
        <v>23</v>
      </c>
      <c r="B27" s="5" t="s">
        <v>133</v>
      </c>
      <c r="C27" s="5" t="s">
        <v>134</v>
      </c>
      <c r="D27" s="5" t="s">
        <v>56</v>
      </c>
      <c r="E27" s="4" t="s">
        <v>32</v>
      </c>
      <c r="F27" s="4" t="s">
        <v>46</v>
      </c>
      <c r="G27" s="4" t="s">
        <v>80</v>
      </c>
      <c r="H27" s="5" t="s">
        <v>81</v>
      </c>
      <c r="I27" s="4" t="s">
        <v>32</v>
      </c>
      <c r="J27" s="5" t="s">
        <v>82</v>
      </c>
      <c r="K27" s="4" t="s">
        <v>32</v>
      </c>
      <c r="L27" s="5" t="s">
        <v>85</v>
      </c>
      <c r="M27" s="4">
        <v>5</v>
      </c>
      <c r="N27" s="4">
        <v>5</v>
      </c>
      <c r="O27" s="4" t="s">
        <v>50</v>
      </c>
      <c r="P27" s="4" t="s">
        <v>76</v>
      </c>
      <c r="Q27" s="4" t="s">
        <v>52</v>
      </c>
      <c r="R27" s="4">
        <v>3</v>
      </c>
      <c r="S27" s="4">
        <v>3</v>
      </c>
      <c r="T27" s="5" t="s">
        <v>135</v>
      </c>
      <c r="U27" s="4">
        <v>5</v>
      </c>
    </row>
    <row r="28" spans="1:21" ht="19.5" customHeight="1" x14ac:dyDescent="0.35">
      <c r="A28" s="6">
        <v>24</v>
      </c>
      <c r="B28" s="7" t="s">
        <v>136</v>
      </c>
      <c r="C28" s="7" t="s">
        <v>137</v>
      </c>
      <c r="D28" s="7" t="s">
        <v>93</v>
      </c>
      <c r="E28" s="6" t="s">
        <v>32</v>
      </c>
      <c r="F28" s="6" t="s">
        <v>46</v>
      </c>
      <c r="G28" s="6" t="s">
        <v>66</v>
      </c>
      <c r="H28" s="7" t="s">
        <v>67</v>
      </c>
      <c r="I28" s="6" t="s">
        <v>32</v>
      </c>
      <c r="J28" s="7" t="s">
        <v>68</v>
      </c>
      <c r="K28" s="6" t="s">
        <v>36</v>
      </c>
      <c r="L28" s="7" t="s">
        <v>83</v>
      </c>
      <c r="M28" s="6">
        <v>3</v>
      </c>
      <c r="N28" s="6">
        <v>4</v>
      </c>
      <c r="O28" s="6" t="s">
        <v>52</v>
      </c>
      <c r="P28" s="6" t="s">
        <v>76</v>
      </c>
      <c r="Q28" s="6" t="s">
        <v>61</v>
      </c>
      <c r="R28" s="6">
        <v>4</v>
      </c>
      <c r="S28" s="6">
        <v>3</v>
      </c>
      <c r="T28" s="7" t="s">
        <v>132</v>
      </c>
      <c r="U28" s="6">
        <v>2</v>
      </c>
    </row>
    <row r="29" spans="1:21" ht="19.5" customHeight="1" x14ac:dyDescent="0.35">
      <c r="A29" s="4">
        <v>25</v>
      </c>
      <c r="B29" s="5" t="s">
        <v>138</v>
      </c>
      <c r="C29" s="5" t="s">
        <v>139</v>
      </c>
      <c r="D29" s="5" t="s">
        <v>108</v>
      </c>
      <c r="E29" s="4" t="s">
        <v>32</v>
      </c>
      <c r="F29" s="4" t="s">
        <v>46</v>
      </c>
      <c r="G29" s="4" t="s">
        <v>80</v>
      </c>
      <c r="H29" s="5" t="s">
        <v>81</v>
      </c>
      <c r="I29" s="4" t="s">
        <v>32</v>
      </c>
      <c r="J29" s="5" t="s">
        <v>126</v>
      </c>
      <c r="K29" s="4" t="s">
        <v>32</v>
      </c>
      <c r="L29" s="5" t="s">
        <v>140</v>
      </c>
      <c r="M29" s="4">
        <v>5</v>
      </c>
      <c r="N29" s="4">
        <v>5</v>
      </c>
      <c r="O29" s="4" t="s">
        <v>51</v>
      </c>
      <c r="P29" s="4" t="s">
        <v>52</v>
      </c>
      <c r="Q29" s="4" t="s">
        <v>86</v>
      </c>
      <c r="R29" s="4">
        <v>4</v>
      </c>
      <c r="S29" s="4">
        <v>2</v>
      </c>
      <c r="T29" s="5" t="s">
        <v>62</v>
      </c>
      <c r="U29" s="4">
        <v>3</v>
      </c>
    </row>
    <row r="30" spans="1:21" ht="19.5" customHeight="1" x14ac:dyDescent="0.35">
      <c r="A30" s="6">
        <v>26</v>
      </c>
      <c r="B30" s="7" t="s">
        <v>141</v>
      </c>
      <c r="C30" s="7" t="s">
        <v>123</v>
      </c>
      <c r="D30" s="7" t="s">
        <v>72</v>
      </c>
      <c r="E30" s="6" t="s">
        <v>32</v>
      </c>
      <c r="F30" s="6" t="s">
        <v>57</v>
      </c>
      <c r="G30" s="6" t="s">
        <v>47</v>
      </c>
      <c r="H30" s="7" t="s">
        <v>35</v>
      </c>
      <c r="I30" s="6" t="s">
        <v>32</v>
      </c>
      <c r="J30" s="7" t="s">
        <v>48</v>
      </c>
      <c r="K30" s="6" t="s">
        <v>32</v>
      </c>
      <c r="L30" s="7" t="s">
        <v>89</v>
      </c>
      <c r="M30" s="6">
        <v>4</v>
      </c>
      <c r="N30" s="6">
        <v>4</v>
      </c>
      <c r="O30" s="6" t="s">
        <v>50</v>
      </c>
      <c r="P30" s="6" t="s">
        <v>60</v>
      </c>
      <c r="Q30" s="6" t="s">
        <v>39</v>
      </c>
      <c r="R30" s="6">
        <v>5</v>
      </c>
      <c r="S30" s="6">
        <v>1</v>
      </c>
      <c r="T30" s="7" t="s">
        <v>62</v>
      </c>
      <c r="U30" s="6">
        <v>5</v>
      </c>
    </row>
    <row r="31" spans="1:21" ht="19.5" customHeight="1" x14ac:dyDescent="0.35">
      <c r="A31" s="4">
        <v>27</v>
      </c>
      <c r="B31" s="5" t="s">
        <v>142</v>
      </c>
      <c r="C31" s="5" t="s">
        <v>143</v>
      </c>
      <c r="D31" s="5" t="s">
        <v>144</v>
      </c>
      <c r="E31" s="4" t="s">
        <v>32</v>
      </c>
      <c r="F31" s="4" t="s">
        <v>46</v>
      </c>
      <c r="G31" s="4" t="s">
        <v>66</v>
      </c>
      <c r="H31" s="5" t="s">
        <v>67</v>
      </c>
      <c r="I31" s="4" t="s">
        <v>32</v>
      </c>
      <c r="J31" s="5" t="s">
        <v>145</v>
      </c>
      <c r="K31" s="4" t="s">
        <v>32</v>
      </c>
      <c r="L31" s="5" t="s">
        <v>146</v>
      </c>
      <c r="M31" s="4">
        <v>4</v>
      </c>
      <c r="N31" s="4">
        <v>3</v>
      </c>
      <c r="O31" s="4" t="s">
        <v>50</v>
      </c>
      <c r="P31" s="4" t="s">
        <v>61</v>
      </c>
      <c r="Q31" s="4" t="s">
        <v>41</v>
      </c>
      <c r="R31" s="4">
        <v>2</v>
      </c>
      <c r="S31" s="4">
        <v>2</v>
      </c>
      <c r="T31" s="5" t="s">
        <v>62</v>
      </c>
      <c r="U31" s="4">
        <v>2</v>
      </c>
    </row>
    <row r="32" spans="1:21" ht="19.5" customHeight="1" x14ac:dyDescent="0.35">
      <c r="A32" s="6">
        <v>28</v>
      </c>
      <c r="B32" s="7" t="s">
        <v>147</v>
      </c>
      <c r="C32" s="7" t="s">
        <v>148</v>
      </c>
      <c r="D32" s="7" t="s">
        <v>149</v>
      </c>
      <c r="E32" s="6" t="s">
        <v>32</v>
      </c>
      <c r="F32" s="6" t="s">
        <v>57</v>
      </c>
      <c r="G32" s="6" t="s">
        <v>80</v>
      </c>
      <c r="H32" s="7" t="s">
        <v>81</v>
      </c>
      <c r="I32" s="6" t="s">
        <v>32</v>
      </c>
      <c r="J32" s="7" t="s">
        <v>82</v>
      </c>
      <c r="K32" s="6" t="s">
        <v>32</v>
      </c>
      <c r="L32" s="7" t="s">
        <v>85</v>
      </c>
      <c r="M32" s="6">
        <v>3</v>
      </c>
      <c r="N32" s="6">
        <v>5</v>
      </c>
      <c r="O32" s="6" t="s">
        <v>52</v>
      </c>
      <c r="P32" s="6" t="s">
        <v>39</v>
      </c>
      <c r="Q32" s="6" t="s">
        <v>61</v>
      </c>
      <c r="R32" s="6">
        <v>3</v>
      </c>
      <c r="S32" s="6">
        <v>1</v>
      </c>
      <c r="T32" s="7" t="s">
        <v>62</v>
      </c>
      <c r="U32" s="6">
        <v>5</v>
      </c>
    </row>
    <row r="33" spans="1:21" ht="19.5" customHeight="1" x14ac:dyDescent="0.35">
      <c r="A33" s="4">
        <v>29</v>
      </c>
      <c r="B33" s="5" t="s">
        <v>150</v>
      </c>
      <c r="C33" s="5" t="s">
        <v>151</v>
      </c>
      <c r="D33" s="5" t="s">
        <v>144</v>
      </c>
      <c r="E33" s="4" t="s">
        <v>32</v>
      </c>
      <c r="F33" s="4" t="s">
        <v>46</v>
      </c>
      <c r="G33" s="4" t="s">
        <v>80</v>
      </c>
      <c r="H33" s="5" t="s">
        <v>81</v>
      </c>
      <c r="I33" s="4" t="s">
        <v>32</v>
      </c>
      <c r="J33" s="5" t="s">
        <v>82</v>
      </c>
      <c r="K33" s="4" t="s">
        <v>32</v>
      </c>
      <c r="L33" s="5" t="s">
        <v>140</v>
      </c>
      <c r="M33" s="4">
        <v>3</v>
      </c>
      <c r="N33" s="4">
        <v>5</v>
      </c>
      <c r="O33" s="4" t="s">
        <v>60</v>
      </c>
      <c r="P33" s="4" t="s">
        <v>39</v>
      </c>
      <c r="Q33" s="4" t="s">
        <v>86</v>
      </c>
      <c r="R33" s="4">
        <v>5</v>
      </c>
      <c r="S33" s="4">
        <v>1</v>
      </c>
      <c r="T33" s="5" t="s">
        <v>62</v>
      </c>
      <c r="U33" s="4">
        <v>3</v>
      </c>
    </row>
    <row r="34" spans="1:21" ht="19.5" customHeight="1" x14ac:dyDescent="0.35">
      <c r="A34" s="6">
        <v>30</v>
      </c>
      <c r="B34" s="7" t="s">
        <v>152</v>
      </c>
      <c r="C34" s="7" t="s">
        <v>153</v>
      </c>
      <c r="D34" s="7" t="s">
        <v>93</v>
      </c>
      <c r="E34" s="6" t="s">
        <v>32</v>
      </c>
      <c r="F34" s="6" t="s">
        <v>57</v>
      </c>
      <c r="G34" s="6" t="s">
        <v>34</v>
      </c>
      <c r="H34" s="7" t="s">
        <v>73</v>
      </c>
      <c r="I34" s="6" t="s">
        <v>32</v>
      </c>
      <c r="J34" s="7" t="s">
        <v>74</v>
      </c>
      <c r="K34" s="6" t="s">
        <v>32</v>
      </c>
      <c r="L34" s="7" t="s">
        <v>38</v>
      </c>
      <c r="M34" s="6">
        <v>4</v>
      </c>
      <c r="N34" s="6">
        <v>4</v>
      </c>
      <c r="O34" s="6" t="s">
        <v>61</v>
      </c>
      <c r="P34" s="6" t="s">
        <v>60</v>
      </c>
      <c r="Q34" s="6" t="s">
        <v>52</v>
      </c>
      <c r="R34" s="6">
        <v>5</v>
      </c>
      <c r="S34" s="6">
        <v>2</v>
      </c>
      <c r="T34" s="7" t="s">
        <v>62</v>
      </c>
      <c r="U34" s="6">
        <v>3</v>
      </c>
    </row>
    <row r="35" spans="1:21" ht="19.5" customHeight="1" x14ac:dyDescent="0.35">
      <c r="A35" s="4">
        <v>31</v>
      </c>
      <c r="B35" s="5" t="s">
        <v>154</v>
      </c>
      <c r="C35" s="5" t="s">
        <v>110</v>
      </c>
      <c r="D35" s="5" t="s">
        <v>65</v>
      </c>
      <c r="E35" s="4" t="s">
        <v>32</v>
      </c>
      <c r="F35" s="4" t="s">
        <v>46</v>
      </c>
      <c r="G35" s="4" t="s">
        <v>66</v>
      </c>
      <c r="H35" s="5" t="s">
        <v>67</v>
      </c>
      <c r="I35" s="4" t="s">
        <v>32</v>
      </c>
      <c r="J35" s="5" t="s">
        <v>68</v>
      </c>
      <c r="K35" s="4" t="s">
        <v>36</v>
      </c>
      <c r="L35" s="5" t="s">
        <v>83</v>
      </c>
      <c r="M35" s="4">
        <v>3</v>
      </c>
      <c r="N35" s="4">
        <v>4</v>
      </c>
      <c r="O35" s="4" t="s">
        <v>50</v>
      </c>
      <c r="P35" s="4" t="s">
        <v>51</v>
      </c>
      <c r="Q35" s="4" t="s">
        <v>39</v>
      </c>
      <c r="R35" s="4">
        <v>2</v>
      </c>
      <c r="S35" s="4">
        <v>4</v>
      </c>
      <c r="T35" s="5" t="s">
        <v>105</v>
      </c>
      <c r="U35" s="4">
        <v>2</v>
      </c>
    </row>
    <row r="36" spans="1:21" ht="19.5" customHeight="1" x14ac:dyDescent="0.35">
      <c r="A36" s="6">
        <v>32</v>
      </c>
      <c r="B36" s="7" t="s">
        <v>155</v>
      </c>
      <c r="C36" s="7" t="s">
        <v>156</v>
      </c>
      <c r="D36" s="7" t="s">
        <v>93</v>
      </c>
      <c r="E36" s="6" t="s">
        <v>32</v>
      </c>
      <c r="F36" s="6" t="s">
        <v>46</v>
      </c>
      <c r="G36" s="6" t="s">
        <v>34</v>
      </c>
      <c r="H36" s="7" t="s">
        <v>73</v>
      </c>
      <c r="I36" s="6" t="s">
        <v>32</v>
      </c>
      <c r="J36" s="7" t="s">
        <v>157</v>
      </c>
      <c r="K36" s="6" t="s">
        <v>32</v>
      </c>
      <c r="L36" s="7" t="s">
        <v>75</v>
      </c>
      <c r="M36" s="6">
        <v>3</v>
      </c>
      <c r="N36" s="6">
        <v>4</v>
      </c>
      <c r="O36" s="6" t="s">
        <v>41</v>
      </c>
      <c r="P36" s="6" t="s">
        <v>50</v>
      </c>
      <c r="Q36" s="6" t="s">
        <v>40</v>
      </c>
      <c r="R36" s="6">
        <v>4</v>
      </c>
      <c r="S36" s="6">
        <v>2</v>
      </c>
      <c r="T36" s="7" t="s">
        <v>62</v>
      </c>
      <c r="U36" s="6">
        <v>4</v>
      </c>
    </row>
    <row r="37" spans="1:21" ht="19.5" customHeight="1" x14ac:dyDescent="0.35">
      <c r="A37" s="4">
        <v>33</v>
      </c>
      <c r="B37" s="5" t="s">
        <v>158</v>
      </c>
      <c r="C37" s="5" t="s">
        <v>30</v>
      </c>
      <c r="D37" s="5" t="s">
        <v>65</v>
      </c>
      <c r="E37" s="4" t="s">
        <v>32</v>
      </c>
      <c r="F37" s="4" t="s">
        <v>33</v>
      </c>
      <c r="G37" s="4" t="s">
        <v>66</v>
      </c>
      <c r="H37" s="5" t="s">
        <v>67</v>
      </c>
      <c r="I37" s="4" t="s">
        <v>32</v>
      </c>
      <c r="J37" s="5" t="s">
        <v>48</v>
      </c>
      <c r="K37" s="4" t="s">
        <v>36</v>
      </c>
      <c r="L37" s="5" t="s">
        <v>83</v>
      </c>
      <c r="M37" s="4">
        <v>4</v>
      </c>
      <c r="N37" s="4">
        <v>2</v>
      </c>
      <c r="O37" s="4" t="s">
        <v>61</v>
      </c>
      <c r="P37" s="4" t="s">
        <v>52</v>
      </c>
      <c r="Q37" s="4" t="s">
        <v>39</v>
      </c>
      <c r="R37" s="4">
        <v>2</v>
      </c>
      <c r="S37" s="4">
        <v>3</v>
      </c>
      <c r="T37" s="5" t="s">
        <v>105</v>
      </c>
      <c r="U37" s="4">
        <v>3</v>
      </c>
    </row>
    <row r="38" spans="1:21" ht="19.5" customHeight="1" x14ac:dyDescent="0.35">
      <c r="A38" s="6">
        <v>34</v>
      </c>
      <c r="B38" s="7" t="s">
        <v>159</v>
      </c>
      <c r="C38" s="7" t="s">
        <v>117</v>
      </c>
      <c r="D38" s="7" t="s">
        <v>79</v>
      </c>
      <c r="E38" s="6" t="s">
        <v>32</v>
      </c>
      <c r="F38" s="6" t="s">
        <v>33</v>
      </c>
      <c r="G38" s="6" t="s">
        <v>66</v>
      </c>
      <c r="H38" s="7" t="s">
        <v>67</v>
      </c>
      <c r="I38" s="6" t="s">
        <v>32</v>
      </c>
      <c r="J38" s="7" t="s">
        <v>58</v>
      </c>
      <c r="K38" s="6" t="s">
        <v>36</v>
      </c>
      <c r="L38" s="7" t="s">
        <v>131</v>
      </c>
      <c r="M38" s="6">
        <v>2</v>
      </c>
      <c r="N38" s="6">
        <v>3</v>
      </c>
      <c r="O38" s="6" t="s">
        <v>52</v>
      </c>
      <c r="P38" s="6" t="s">
        <v>39</v>
      </c>
      <c r="Q38" s="6" t="s">
        <v>86</v>
      </c>
      <c r="R38" s="6">
        <v>3</v>
      </c>
      <c r="S38" s="6">
        <v>3</v>
      </c>
      <c r="T38" s="7" t="s">
        <v>115</v>
      </c>
      <c r="U38" s="6">
        <v>4</v>
      </c>
    </row>
    <row r="39" spans="1:21" ht="19.5" customHeight="1" x14ac:dyDescent="0.35">
      <c r="A39" s="4">
        <v>35</v>
      </c>
      <c r="B39" s="5" t="s">
        <v>160</v>
      </c>
      <c r="C39" s="5" t="s">
        <v>161</v>
      </c>
      <c r="D39" s="5" t="s">
        <v>120</v>
      </c>
      <c r="E39" s="4" t="s">
        <v>32</v>
      </c>
      <c r="F39" s="4" t="s">
        <v>46</v>
      </c>
      <c r="G39" s="4" t="s">
        <v>66</v>
      </c>
      <c r="H39" s="5" t="s">
        <v>73</v>
      </c>
      <c r="I39" s="4" t="s">
        <v>36</v>
      </c>
      <c r="J39" s="5" t="s">
        <v>145</v>
      </c>
      <c r="K39" s="4" t="s">
        <v>32</v>
      </c>
      <c r="L39" s="5" t="s">
        <v>131</v>
      </c>
      <c r="M39" s="4">
        <v>4</v>
      </c>
      <c r="N39" s="4">
        <v>4</v>
      </c>
      <c r="O39" s="4" t="s">
        <v>86</v>
      </c>
      <c r="P39" s="4" t="s">
        <v>40</v>
      </c>
      <c r="Q39" s="4" t="s">
        <v>52</v>
      </c>
      <c r="R39" s="4">
        <v>2</v>
      </c>
      <c r="S39" s="4">
        <v>3</v>
      </c>
      <c r="T39" s="5" t="s">
        <v>132</v>
      </c>
      <c r="U39" s="4">
        <v>2</v>
      </c>
    </row>
    <row r="40" spans="1:21" ht="19.5" customHeight="1" x14ac:dyDescent="0.35">
      <c r="A40" s="6">
        <v>36</v>
      </c>
      <c r="B40" s="7" t="s">
        <v>162</v>
      </c>
      <c r="C40" s="7" t="s">
        <v>163</v>
      </c>
      <c r="D40" s="7" t="s">
        <v>144</v>
      </c>
      <c r="E40" s="6" t="s">
        <v>32</v>
      </c>
      <c r="F40" s="6" t="s">
        <v>33</v>
      </c>
      <c r="G40" s="6" t="s">
        <v>66</v>
      </c>
      <c r="H40" s="7" t="s">
        <v>67</v>
      </c>
      <c r="I40" s="6" t="s">
        <v>32</v>
      </c>
      <c r="J40" s="7" t="s">
        <v>48</v>
      </c>
      <c r="K40" s="6" t="s">
        <v>32</v>
      </c>
      <c r="L40" s="7" t="s">
        <v>131</v>
      </c>
      <c r="M40" s="6">
        <v>3</v>
      </c>
      <c r="N40" s="6">
        <v>3</v>
      </c>
      <c r="O40" s="6" t="s">
        <v>51</v>
      </c>
      <c r="P40" s="6" t="s">
        <v>40</v>
      </c>
      <c r="Q40" s="6" t="s">
        <v>39</v>
      </c>
      <c r="R40" s="6">
        <v>2</v>
      </c>
      <c r="S40" s="6">
        <v>4</v>
      </c>
      <c r="T40" s="7" t="s">
        <v>102</v>
      </c>
      <c r="U40" s="6">
        <v>3</v>
      </c>
    </row>
    <row r="41" spans="1:21" ht="19.5" customHeight="1" x14ac:dyDescent="0.35">
      <c r="A41" s="4">
        <v>37</v>
      </c>
      <c r="B41" s="5" t="s">
        <v>164</v>
      </c>
      <c r="C41" s="5" t="s">
        <v>165</v>
      </c>
      <c r="D41" s="5" t="s">
        <v>79</v>
      </c>
      <c r="E41" s="4" t="s">
        <v>32</v>
      </c>
      <c r="F41" s="4" t="s">
        <v>57</v>
      </c>
      <c r="G41" s="4" t="s">
        <v>80</v>
      </c>
      <c r="H41" s="5" t="s">
        <v>81</v>
      </c>
      <c r="I41" s="4" t="s">
        <v>32</v>
      </c>
      <c r="J41" s="5" t="s">
        <v>82</v>
      </c>
      <c r="K41" s="4" t="s">
        <v>32</v>
      </c>
      <c r="L41" s="5" t="s">
        <v>140</v>
      </c>
      <c r="M41" s="4">
        <v>3</v>
      </c>
      <c r="N41" s="4">
        <v>3</v>
      </c>
      <c r="O41" s="4" t="s">
        <v>61</v>
      </c>
      <c r="P41" s="4" t="s">
        <v>41</v>
      </c>
      <c r="Q41" s="4" t="s">
        <v>50</v>
      </c>
      <c r="R41" s="4">
        <v>3</v>
      </c>
      <c r="S41" s="4">
        <v>2</v>
      </c>
      <c r="T41" s="5" t="s">
        <v>62</v>
      </c>
      <c r="U41" s="4">
        <v>5</v>
      </c>
    </row>
    <row r="42" spans="1:21" ht="19.5" customHeight="1" x14ac:dyDescent="0.35">
      <c r="A42" s="6">
        <v>38</v>
      </c>
      <c r="B42" s="7" t="s">
        <v>166</v>
      </c>
      <c r="C42" s="7" t="s">
        <v>167</v>
      </c>
      <c r="D42" s="7" t="s">
        <v>79</v>
      </c>
      <c r="E42" s="6" t="s">
        <v>32</v>
      </c>
      <c r="F42" s="6" t="s">
        <v>46</v>
      </c>
      <c r="G42" s="6" t="s">
        <v>47</v>
      </c>
      <c r="H42" s="7" t="s">
        <v>35</v>
      </c>
      <c r="I42" s="6" t="s">
        <v>32</v>
      </c>
      <c r="J42" s="7" t="s">
        <v>74</v>
      </c>
      <c r="K42" s="6" t="s">
        <v>32</v>
      </c>
      <c r="L42" s="7" t="s">
        <v>49</v>
      </c>
      <c r="M42" s="6">
        <v>5</v>
      </c>
      <c r="N42" s="6">
        <v>5</v>
      </c>
      <c r="O42" s="6" t="s">
        <v>40</v>
      </c>
      <c r="P42" s="6" t="s">
        <v>41</v>
      </c>
      <c r="Q42" s="6" t="s">
        <v>51</v>
      </c>
      <c r="R42" s="6">
        <v>3</v>
      </c>
      <c r="S42" s="6">
        <v>3</v>
      </c>
      <c r="T42" s="7" t="s">
        <v>121</v>
      </c>
      <c r="U42" s="6">
        <v>4</v>
      </c>
    </row>
    <row r="43" spans="1:21" ht="19.5" customHeight="1" x14ac:dyDescent="0.35">
      <c r="A43" s="4">
        <v>39</v>
      </c>
      <c r="B43" s="5" t="s">
        <v>168</v>
      </c>
      <c r="C43" s="5" t="s">
        <v>78</v>
      </c>
      <c r="D43" s="5" t="s">
        <v>120</v>
      </c>
      <c r="E43" s="4" t="s">
        <v>32</v>
      </c>
      <c r="F43" s="4" t="s">
        <v>46</v>
      </c>
      <c r="G43" s="4" t="s">
        <v>66</v>
      </c>
      <c r="H43" s="5" t="s">
        <v>67</v>
      </c>
      <c r="I43" s="4" t="s">
        <v>32</v>
      </c>
      <c r="J43" s="5" t="s">
        <v>58</v>
      </c>
      <c r="K43" s="4" t="s">
        <v>32</v>
      </c>
      <c r="L43" s="5" t="s">
        <v>146</v>
      </c>
      <c r="M43" s="4">
        <v>2</v>
      </c>
      <c r="N43" s="4">
        <v>4</v>
      </c>
      <c r="O43" s="4" t="s">
        <v>51</v>
      </c>
      <c r="P43" s="4" t="s">
        <v>40</v>
      </c>
      <c r="Q43" s="4" t="s">
        <v>86</v>
      </c>
      <c r="R43" s="4">
        <v>3</v>
      </c>
      <c r="S43" s="4">
        <v>4</v>
      </c>
      <c r="T43" s="5" t="s">
        <v>115</v>
      </c>
      <c r="U43" s="4">
        <v>4</v>
      </c>
    </row>
    <row r="44" spans="1:21" ht="19.5" customHeight="1" x14ac:dyDescent="0.35">
      <c r="A44" s="6">
        <v>40</v>
      </c>
      <c r="B44" s="7" t="s">
        <v>169</v>
      </c>
      <c r="C44" s="7" t="s">
        <v>170</v>
      </c>
      <c r="D44" s="7" t="s">
        <v>72</v>
      </c>
      <c r="E44" s="6" t="s">
        <v>32</v>
      </c>
      <c r="F44" s="6" t="s">
        <v>33</v>
      </c>
      <c r="G44" s="6" t="s">
        <v>80</v>
      </c>
      <c r="H44" s="7" t="s">
        <v>81</v>
      </c>
      <c r="I44" s="6" t="s">
        <v>32</v>
      </c>
      <c r="J44" s="7" t="s">
        <v>74</v>
      </c>
      <c r="K44" s="6" t="s">
        <v>32</v>
      </c>
      <c r="L44" s="7" t="s">
        <v>127</v>
      </c>
      <c r="M44" s="6">
        <v>4</v>
      </c>
      <c r="N44" s="6">
        <v>3</v>
      </c>
      <c r="O44" s="6" t="s">
        <v>52</v>
      </c>
      <c r="P44" s="6" t="s">
        <v>76</v>
      </c>
      <c r="Q44" s="6" t="s">
        <v>39</v>
      </c>
      <c r="R44" s="6">
        <v>5</v>
      </c>
      <c r="S44" s="6">
        <v>1</v>
      </c>
      <c r="T44" s="7" t="s">
        <v>62</v>
      </c>
      <c r="U44" s="6">
        <v>4</v>
      </c>
    </row>
    <row r="45" spans="1:21" ht="19.5" customHeight="1" x14ac:dyDescent="0.35">
      <c r="A45" s="8" t="str">
        <f t="shared" ref="A45:A76" si="0">IF(B45&lt;&gt;"",ROW()-4,"")</f>
        <v/>
      </c>
      <c r="B45" s="9"/>
      <c r="C45" s="10"/>
      <c r="D45" s="9"/>
      <c r="E45" s="10"/>
      <c r="F45" s="10"/>
      <c r="G45" s="10"/>
      <c r="H45" s="9"/>
      <c r="I45" s="10"/>
      <c r="J45" s="10"/>
      <c r="K45" s="10"/>
      <c r="L45" s="9"/>
      <c r="M45" s="10"/>
      <c r="N45" s="10"/>
      <c r="O45" s="10"/>
      <c r="P45" s="10"/>
      <c r="Q45" s="10"/>
      <c r="R45" s="10"/>
      <c r="S45" s="10"/>
      <c r="T45" s="9"/>
      <c r="U45" s="10"/>
    </row>
    <row r="46" spans="1:21" ht="19.5" customHeight="1" x14ac:dyDescent="0.35">
      <c r="A46" s="11" t="str">
        <f t="shared" si="0"/>
        <v/>
      </c>
      <c r="B46" s="12"/>
      <c r="C46" s="13"/>
      <c r="D46" s="12"/>
      <c r="E46" s="13"/>
      <c r="F46" s="13"/>
      <c r="G46" s="13"/>
      <c r="H46" s="12"/>
      <c r="I46" s="13"/>
      <c r="J46" s="13"/>
      <c r="K46" s="13"/>
      <c r="L46" s="12"/>
      <c r="M46" s="13"/>
      <c r="N46" s="13"/>
      <c r="O46" s="13"/>
      <c r="P46" s="13"/>
      <c r="Q46" s="13"/>
      <c r="R46" s="13"/>
      <c r="S46" s="13"/>
      <c r="T46" s="12"/>
      <c r="U46" s="13"/>
    </row>
    <row r="47" spans="1:21" ht="19.5" customHeight="1" x14ac:dyDescent="0.35">
      <c r="A47" s="8" t="str">
        <f t="shared" si="0"/>
        <v/>
      </c>
      <c r="B47" s="9"/>
      <c r="C47" s="10"/>
      <c r="D47" s="9"/>
      <c r="E47" s="10"/>
      <c r="F47" s="10"/>
      <c r="G47" s="10"/>
      <c r="H47" s="9"/>
      <c r="I47" s="10"/>
      <c r="J47" s="10"/>
      <c r="K47" s="10"/>
      <c r="L47" s="9"/>
      <c r="M47" s="10"/>
      <c r="N47" s="10"/>
      <c r="O47" s="10"/>
      <c r="P47" s="10"/>
      <c r="Q47" s="10"/>
      <c r="R47" s="10"/>
      <c r="S47" s="10"/>
      <c r="T47" s="9"/>
      <c r="U47" s="10"/>
    </row>
    <row r="48" spans="1:21" ht="19.5" customHeight="1" x14ac:dyDescent="0.35">
      <c r="A48" s="11" t="str">
        <f t="shared" si="0"/>
        <v/>
      </c>
      <c r="B48" s="12"/>
      <c r="C48" s="13"/>
      <c r="D48" s="12"/>
      <c r="E48" s="13"/>
      <c r="F48" s="13"/>
      <c r="G48" s="13"/>
      <c r="H48" s="12"/>
      <c r="I48" s="13"/>
      <c r="J48" s="13"/>
      <c r="K48" s="13"/>
      <c r="L48" s="12"/>
      <c r="M48" s="13"/>
      <c r="N48" s="13"/>
      <c r="O48" s="13"/>
      <c r="P48" s="13"/>
      <c r="Q48" s="13"/>
      <c r="R48" s="13"/>
      <c r="S48" s="13"/>
      <c r="T48" s="12"/>
      <c r="U48" s="13"/>
    </row>
    <row r="49" spans="1:21" ht="19.5" customHeight="1" x14ac:dyDescent="0.35">
      <c r="A49" s="8" t="str">
        <f t="shared" si="0"/>
        <v/>
      </c>
      <c r="B49" s="9"/>
      <c r="C49" s="10"/>
      <c r="D49" s="9"/>
      <c r="E49" s="10"/>
      <c r="F49" s="10"/>
      <c r="G49" s="10"/>
      <c r="H49" s="9"/>
      <c r="I49" s="10"/>
      <c r="J49" s="10"/>
      <c r="K49" s="10"/>
      <c r="L49" s="9"/>
      <c r="M49" s="10"/>
      <c r="N49" s="10"/>
      <c r="O49" s="10"/>
      <c r="P49" s="10"/>
      <c r="Q49" s="10"/>
      <c r="R49" s="10"/>
      <c r="S49" s="10"/>
      <c r="T49" s="9"/>
      <c r="U49" s="10"/>
    </row>
    <row r="50" spans="1:21" ht="19.5" customHeight="1" x14ac:dyDescent="0.35">
      <c r="A50" s="11" t="str">
        <f t="shared" si="0"/>
        <v/>
      </c>
      <c r="B50" s="12"/>
      <c r="C50" s="13"/>
      <c r="D50" s="12"/>
      <c r="E50" s="13"/>
      <c r="F50" s="13"/>
      <c r="G50" s="13"/>
      <c r="H50" s="12"/>
      <c r="I50" s="13"/>
      <c r="J50" s="13"/>
      <c r="K50" s="13"/>
      <c r="L50" s="12"/>
      <c r="M50" s="13"/>
      <c r="N50" s="13"/>
      <c r="O50" s="13"/>
      <c r="P50" s="13"/>
      <c r="Q50" s="13"/>
      <c r="R50" s="13"/>
      <c r="S50" s="13"/>
      <c r="T50" s="12"/>
      <c r="U50" s="13"/>
    </row>
    <row r="51" spans="1:21" ht="19.5" customHeight="1" x14ac:dyDescent="0.35">
      <c r="A51" s="8" t="str">
        <f t="shared" si="0"/>
        <v/>
      </c>
      <c r="B51" s="9"/>
      <c r="C51" s="10"/>
      <c r="D51" s="9"/>
      <c r="E51" s="10"/>
      <c r="F51" s="10"/>
      <c r="G51" s="10"/>
      <c r="H51" s="9"/>
      <c r="I51" s="10"/>
      <c r="J51" s="10"/>
      <c r="K51" s="10"/>
      <c r="L51" s="9"/>
      <c r="M51" s="10"/>
      <c r="N51" s="10"/>
      <c r="O51" s="10"/>
      <c r="P51" s="10"/>
      <c r="Q51" s="10"/>
      <c r="R51" s="10"/>
      <c r="S51" s="10"/>
      <c r="T51" s="9"/>
      <c r="U51" s="10"/>
    </row>
    <row r="52" spans="1:21" ht="19.5" customHeight="1" x14ac:dyDescent="0.35">
      <c r="A52" s="11" t="str">
        <f t="shared" si="0"/>
        <v/>
      </c>
      <c r="B52" s="12"/>
      <c r="C52" s="13"/>
      <c r="D52" s="12"/>
      <c r="E52" s="13"/>
      <c r="F52" s="13"/>
      <c r="G52" s="13"/>
      <c r="H52" s="12"/>
      <c r="I52" s="13"/>
      <c r="J52" s="13"/>
      <c r="K52" s="13"/>
      <c r="L52" s="12"/>
      <c r="M52" s="13"/>
      <c r="N52" s="13"/>
      <c r="O52" s="13"/>
      <c r="P52" s="13"/>
      <c r="Q52" s="13"/>
      <c r="R52" s="13"/>
      <c r="S52" s="13"/>
      <c r="T52" s="12"/>
      <c r="U52" s="13"/>
    </row>
    <row r="53" spans="1:21" ht="19.5" customHeight="1" x14ac:dyDescent="0.35">
      <c r="A53" s="8" t="str">
        <f t="shared" si="0"/>
        <v/>
      </c>
      <c r="B53" s="9"/>
      <c r="C53" s="10"/>
      <c r="D53" s="9"/>
      <c r="E53" s="10"/>
      <c r="F53" s="10"/>
      <c r="G53" s="10"/>
      <c r="H53" s="9"/>
      <c r="I53" s="10"/>
      <c r="J53" s="10"/>
      <c r="K53" s="10"/>
      <c r="L53" s="9"/>
      <c r="M53" s="10"/>
      <c r="N53" s="10"/>
      <c r="O53" s="10"/>
      <c r="P53" s="10"/>
      <c r="Q53" s="10"/>
      <c r="R53" s="10"/>
      <c r="S53" s="10"/>
      <c r="T53" s="9"/>
      <c r="U53" s="10"/>
    </row>
    <row r="54" spans="1:21" ht="19.5" customHeight="1" x14ac:dyDescent="0.35">
      <c r="A54" s="11" t="str">
        <f t="shared" si="0"/>
        <v/>
      </c>
      <c r="B54" s="12"/>
      <c r="C54" s="13"/>
      <c r="D54" s="12"/>
      <c r="E54" s="13"/>
      <c r="F54" s="13"/>
      <c r="G54" s="13"/>
      <c r="H54" s="12"/>
      <c r="I54" s="13"/>
      <c r="J54" s="13"/>
      <c r="K54" s="13"/>
      <c r="L54" s="12"/>
      <c r="M54" s="13"/>
      <c r="N54" s="13"/>
      <c r="O54" s="13"/>
      <c r="P54" s="13"/>
      <c r="Q54" s="13"/>
      <c r="R54" s="13"/>
      <c r="S54" s="13"/>
      <c r="T54" s="12"/>
      <c r="U54" s="13"/>
    </row>
    <row r="55" spans="1:21" ht="19.5" customHeight="1" x14ac:dyDescent="0.35">
      <c r="A55" s="8" t="str">
        <f t="shared" si="0"/>
        <v/>
      </c>
      <c r="B55" s="9"/>
      <c r="C55" s="10"/>
      <c r="D55" s="9"/>
      <c r="E55" s="10"/>
      <c r="F55" s="10"/>
      <c r="G55" s="10"/>
      <c r="H55" s="9"/>
      <c r="I55" s="10"/>
      <c r="J55" s="10"/>
      <c r="K55" s="10"/>
      <c r="L55" s="9"/>
      <c r="M55" s="10"/>
      <c r="N55" s="10"/>
      <c r="O55" s="10"/>
      <c r="P55" s="10"/>
      <c r="Q55" s="10"/>
      <c r="R55" s="10"/>
      <c r="S55" s="10"/>
      <c r="T55" s="9"/>
      <c r="U55" s="10"/>
    </row>
    <row r="56" spans="1:21" ht="19.5" customHeight="1" x14ac:dyDescent="0.35">
      <c r="A56" s="11" t="str">
        <f t="shared" si="0"/>
        <v/>
      </c>
      <c r="B56" s="12"/>
      <c r="C56" s="13"/>
      <c r="D56" s="12"/>
      <c r="E56" s="13"/>
      <c r="F56" s="13"/>
      <c r="G56" s="13"/>
      <c r="H56" s="12"/>
      <c r="I56" s="13"/>
      <c r="J56" s="13"/>
      <c r="K56" s="13"/>
      <c r="L56" s="12"/>
      <c r="M56" s="13"/>
      <c r="N56" s="13"/>
      <c r="O56" s="13"/>
      <c r="P56" s="13"/>
      <c r="Q56" s="13"/>
      <c r="R56" s="13"/>
      <c r="S56" s="13"/>
      <c r="T56" s="12"/>
      <c r="U56" s="13"/>
    </row>
    <row r="57" spans="1:21" ht="19.5" customHeight="1" x14ac:dyDescent="0.35">
      <c r="A57" s="8" t="str">
        <f t="shared" si="0"/>
        <v/>
      </c>
      <c r="B57" s="9"/>
      <c r="C57" s="10"/>
      <c r="D57" s="9"/>
      <c r="E57" s="10"/>
      <c r="F57" s="10"/>
      <c r="G57" s="10"/>
      <c r="H57" s="9"/>
      <c r="I57" s="10"/>
      <c r="J57" s="10"/>
      <c r="K57" s="10"/>
      <c r="L57" s="9"/>
      <c r="M57" s="10"/>
      <c r="N57" s="10"/>
      <c r="O57" s="10"/>
      <c r="P57" s="10"/>
      <c r="Q57" s="10"/>
      <c r="R57" s="10"/>
      <c r="S57" s="10"/>
      <c r="T57" s="9"/>
      <c r="U57" s="10"/>
    </row>
    <row r="58" spans="1:21" ht="19.5" customHeight="1" x14ac:dyDescent="0.35">
      <c r="A58" s="11" t="str">
        <f t="shared" si="0"/>
        <v/>
      </c>
      <c r="B58" s="12"/>
      <c r="C58" s="13"/>
      <c r="D58" s="12"/>
      <c r="E58" s="13"/>
      <c r="F58" s="13"/>
      <c r="G58" s="13"/>
      <c r="H58" s="12"/>
      <c r="I58" s="13"/>
      <c r="J58" s="13"/>
      <c r="K58" s="13"/>
      <c r="L58" s="12"/>
      <c r="M58" s="13"/>
      <c r="N58" s="13"/>
      <c r="O58" s="13"/>
      <c r="P58" s="13"/>
      <c r="Q58" s="13"/>
      <c r="R58" s="13"/>
      <c r="S58" s="13"/>
      <c r="T58" s="12"/>
      <c r="U58" s="13"/>
    </row>
    <row r="59" spans="1:21" ht="19.5" customHeight="1" x14ac:dyDescent="0.35">
      <c r="A59" s="8" t="str">
        <f t="shared" si="0"/>
        <v/>
      </c>
      <c r="B59" s="9"/>
      <c r="C59" s="10"/>
      <c r="D59" s="9"/>
      <c r="E59" s="10"/>
      <c r="F59" s="10"/>
      <c r="G59" s="10"/>
      <c r="H59" s="9"/>
      <c r="I59" s="10"/>
      <c r="J59" s="10"/>
      <c r="K59" s="10"/>
      <c r="L59" s="9"/>
      <c r="M59" s="10"/>
      <c r="N59" s="10"/>
      <c r="O59" s="10"/>
      <c r="P59" s="10"/>
      <c r="Q59" s="10"/>
      <c r="R59" s="10"/>
      <c r="S59" s="10"/>
      <c r="T59" s="9"/>
      <c r="U59" s="10"/>
    </row>
    <row r="60" spans="1:21" ht="19.5" customHeight="1" x14ac:dyDescent="0.35">
      <c r="A60" s="11" t="str">
        <f t="shared" si="0"/>
        <v/>
      </c>
      <c r="B60" s="12"/>
      <c r="C60" s="13"/>
      <c r="D60" s="12"/>
      <c r="E60" s="13"/>
      <c r="F60" s="13"/>
      <c r="G60" s="13"/>
      <c r="H60" s="12"/>
      <c r="I60" s="13"/>
      <c r="J60" s="13"/>
      <c r="K60" s="13"/>
      <c r="L60" s="12"/>
      <c r="M60" s="13"/>
      <c r="N60" s="13"/>
      <c r="O60" s="13"/>
      <c r="P60" s="13"/>
      <c r="Q60" s="13"/>
      <c r="R60" s="13"/>
      <c r="S60" s="13"/>
      <c r="T60" s="12"/>
      <c r="U60" s="13"/>
    </row>
    <row r="61" spans="1:21" ht="19.5" customHeight="1" x14ac:dyDescent="0.35">
      <c r="A61" s="8" t="str">
        <f t="shared" si="0"/>
        <v/>
      </c>
      <c r="B61" s="9"/>
      <c r="C61" s="10"/>
      <c r="D61" s="9"/>
      <c r="E61" s="10"/>
      <c r="F61" s="10"/>
      <c r="G61" s="10"/>
      <c r="H61" s="9"/>
      <c r="I61" s="10"/>
      <c r="J61" s="10"/>
      <c r="K61" s="10"/>
      <c r="L61" s="9"/>
      <c r="M61" s="10"/>
      <c r="N61" s="10"/>
      <c r="O61" s="10"/>
      <c r="P61" s="10"/>
      <c r="Q61" s="10"/>
      <c r="R61" s="10"/>
      <c r="S61" s="10"/>
      <c r="T61" s="9"/>
      <c r="U61" s="10"/>
    </row>
    <row r="62" spans="1:21" ht="19.5" customHeight="1" x14ac:dyDescent="0.35">
      <c r="A62" s="11" t="str">
        <f t="shared" si="0"/>
        <v/>
      </c>
      <c r="B62" s="12"/>
      <c r="C62" s="13"/>
      <c r="D62" s="12"/>
      <c r="E62" s="13"/>
      <c r="F62" s="13"/>
      <c r="G62" s="13"/>
      <c r="H62" s="12"/>
      <c r="I62" s="13"/>
      <c r="J62" s="13"/>
      <c r="K62" s="13"/>
      <c r="L62" s="12"/>
      <c r="M62" s="13"/>
      <c r="N62" s="13"/>
      <c r="O62" s="13"/>
      <c r="P62" s="13"/>
      <c r="Q62" s="13"/>
      <c r="R62" s="13"/>
      <c r="S62" s="13"/>
      <c r="T62" s="12"/>
      <c r="U62" s="13"/>
    </row>
    <row r="63" spans="1:21" ht="19.5" customHeight="1" x14ac:dyDescent="0.35">
      <c r="A63" s="8" t="str">
        <f t="shared" si="0"/>
        <v/>
      </c>
      <c r="B63" s="9"/>
      <c r="C63" s="10"/>
      <c r="D63" s="9"/>
      <c r="E63" s="10"/>
      <c r="F63" s="10"/>
      <c r="G63" s="10"/>
      <c r="H63" s="9"/>
      <c r="I63" s="10"/>
      <c r="J63" s="10"/>
      <c r="K63" s="10"/>
      <c r="L63" s="9"/>
      <c r="M63" s="10"/>
      <c r="N63" s="10"/>
      <c r="O63" s="10"/>
      <c r="P63" s="10"/>
      <c r="Q63" s="10"/>
      <c r="R63" s="10"/>
      <c r="S63" s="10"/>
      <c r="T63" s="9"/>
      <c r="U63" s="10"/>
    </row>
    <row r="64" spans="1:21" ht="19.5" customHeight="1" x14ac:dyDescent="0.35">
      <c r="A64" s="11" t="str">
        <f t="shared" si="0"/>
        <v/>
      </c>
      <c r="B64" s="12"/>
      <c r="C64" s="13"/>
      <c r="D64" s="12"/>
      <c r="E64" s="13"/>
      <c r="F64" s="13"/>
      <c r="G64" s="13"/>
      <c r="H64" s="12"/>
      <c r="I64" s="13"/>
      <c r="J64" s="13"/>
      <c r="K64" s="13"/>
      <c r="L64" s="12"/>
      <c r="M64" s="13"/>
      <c r="N64" s="13"/>
      <c r="O64" s="13"/>
      <c r="P64" s="13"/>
      <c r="Q64" s="13"/>
      <c r="R64" s="13"/>
      <c r="S64" s="13"/>
      <c r="T64" s="12"/>
      <c r="U64" s="13"/>
    </row>
    <row r="65" spans="1:21" ht="19.5" customHeight="1" x14ac:dyDescent="0.35">
      <c r="A65" s="8" t="str">
        <f t="shared" si="0"/>
        <v/>
      </c>
      <c r="B65" s="9"/>
      <c r="C65" s="10"/>
      <c r="D65" s="9"/>
      <c r="E65" s="10"/>
      <c r="F65" s="10"/>
      <c r="G65" s="10"/>
      <c r="H65" s="9"/>
      <c r="I65" s="10"/>
      <c r="J65" s="10"/>
      <c r="K65" s="10"/>
      <c r="L65" s="9"/>
      <c r="M65" s="10"/>
      <c r="N65" s="10"/>
      <c r="O65" s="10"/>
      <c r="P65" s="10"/>
      <c r="Q65" s="10"/>
      <c r="R65" s="10"/>
      <c r="S65" s="10"/>
      <c r="T65" s="9"/>
      <c r="U65" s="10"/>
    </row>
    <row r="66" spans="1:21" ht="19.5" customHeight="1" x14ac:dyDescent="0.35">
      <c r="A66" s="11" t="str">
        <f t="shared" si="0"/>
        <v/>
      </c>
      <c r="B66" s="12"/>
      <c r="C66" s="13"/>
      <c r="D66" s="12"/>
      <c r="E66" s="13"/>
      <c r="F66" s="13"/>
      <c r="G66" s="13"/>
      <c r="H66" s="12"/>
      <c r="I66" s="13"/>
      <c r="J66" s="13"/>
      <c r="K66" s="13"/>
      <c r="L66" s="12"/>
      <c r="M66" s="13"/>
      <c r="N66" s="13"/>
      <c r="O66" s="13"/>
      <c r="P66" s="13"/>
      <c r="Q66" s="13"/>
      <c r="R66" s="13"/>
      <c r="S66" s="13"/>
      <c r="T66" s="12"/>
      <c r="U66" s="13"/>
    </row>
    <row r="67" spans="1:21" ht="19.5" customHeight="1" x14ac:dyDescent="0.35">
      <c r="A67" s="8" t="str">
        <f t="shared" si="0"/>
        <v/>
      </c>
      <c r="B67" s="9"/>
      <c r="C67" s="10"/>
      <c r="D67" s="9"/>
      <c r="E67" s="10"/>
      <c r="F67" s="10"/>
      <c r="G67" s="10"/>
      <c r="H67" s="9"/>
      <c r="I67" s="10"/>
      <c r="J67" s="10"/>
      <c r="K67" s="10"/>
      <c r="L67" s="9"/>
      <c r="M67" s="10"/>
      <c r="N67" s="10"/>
      <c r="O67" s="10"/>
      <c r="P67" s="10"/>
      <c r="Q67" s="10"/>
      <c r="R67" s="10"/>
      <c r="S67" s="10"/>
      <c r="T67" s="9"/>
      <c r="U67" s="10"/>
    </row>
    <row r="68" spans="1:21" ht="19.5" customHeight="1" x14ac:dyDescent="0.35">
      <c r="A68" s="11" t="str">
        <f t="shared" si="0"/>
        <v/>
      </c>
      <c r="B68" s="12"/>
      <c r="C68" s="13"/>
      <c r="D68" s="12"/>
      <c r="E68" s="13"/>
      <c r="F68" s="13"/>
      <c r="G68" s="13"/>
      <c r="H68" s="12"/>
      <c r="I68" s="13"/>
      <c r="J68" s="13"/>
      <c r="K68" s="13"/>
      <c r="L68" s="12"/>
      <c r="M68" s="13"/>
      <c r="N68" s="13"/>
      <c r="O68" s="13"/>
      <c r="P68" s="13"/>
      <c r="Q68" s="13"/>
      <c r="R68" s="13"/>
      <c r="S68" s="13"/>
      <c r="T68" s="12"/>
      <c r="U68" s="13"/>
    </row>
    <row r="69" spans="1:21" ht="19.5" customHeight="1" x14ac:dyDescent="0.35">
      <c r="A69" s="8" t="str">
        <f t="shared" si="0"/>
        <v/>
      </c>
      <c r="B69" s="9"/>
      <c r="C69" s="10"/>
      <c r="D69" s="9"/>
      <c r="E69" s="10"/>
      <c r="F69" s="10"/>
      <c r="G69" s="10"/>
      <c r="H69" s="9"/>
      <c r="I69" s="10"/>
      <c r="J69" s="10"/>
      <c r="K69" s="10"/>
      <c r="L69" s="9"/>
      <c r="M69" s="10"/>
      <c r="N69" s="10"/>
      <c r="O69" s="10"/>
      <c r="P69" s="10"/>
      <c r="Q69" s="10"/>
      <c r="R69" s="10"/>
      <c r="S69" s="10"/>
      <c r="T69" s="9"/>
      <c r="U69" s="10"/>
    </row>
    <row r="70" spans="1:21" ht="19.5" customHeight="1" x14ac:dyDescent="0.35">
      <c r="A70" s="11" t="str">
        <f t="shared" si="0"/>
        <v/>
      </c>
      <c r="B70" s="12"/>
      <c r="C70" s="13"/>
      <c r="D70" s="12"/>
      <c r="E70" s="13"/>
      <c r="F70" s="13"/>
      <c r="G70" s="13"/>
      <c r="H70" s="12"/>
      <c r="I70" s="13"/>
      <c r="J70" s="13"/>
      <c r="K70" s="13"/>
      <c r="L70" s="12"/>
      <c r="M70" s="13"/>
      <c r="N70" s="13"/>
      <c r="O70" s="13"/>
      <c r="P70" s="13"/>
      <c r="Q70" s="13"/>
      <c r="R70" s="13"/>
      <c r="S70" s="13"/>
      <c r="T70" s="12"/>
      <c r="U70" s="13"/>
    </row>
    <row r="71" spans="1:21" ht="19.5" customHeight="1" x14ac:dyDescent="0.35">
      <c r="A71" s="8" t="str">
        <f t="shared" si="0"/>
        <v/>
      </c>
      <c r="B71" s="9"/>
      <c r="C71" s="10"/>
      <c r="D71" s="9"/>
      <c r="E71" s="10"/>
      <c r="F71" s="10"/>
      <c r="G71" s="10"/>
      <c r="H71" s="9"/>
      <c r="I71" s="10"/>
      <c r="J71" s="10"/>
      <c r="K71" s="10"/>
      <c r="L71" s="9"/>
      <c r="M71" s="10"/>
      <c r="N71" s="10"/>
      <c r="O71" s="10"/>
      <c r="P71" s="10"/>
      <c r="Q71" s="10"/>
      <c r="R71" s="10"/>
      <c r="S71" s="10"/>
      <c r="T71" s="9"/>
      <c r="U71" s="10"/>
    </row>
    <row r="72" spans="1:21" ht="19.5" customHeight="1" x14ac:dyDescent="0.35">
      <c r="A72" s="11" t="str">
        <f t="shared" si="0"/>
        <v/>
      </c>
      <c r="B72" s="12"/>
      <c r="C72" s="13"/>
      <c r="D72" s="12"/>
      <c r="E72" s="13"/>
      <c r="F72" s="13"/>
      <c r="G72" s="13"/>
      <c r="H72" s="12"/>
      <c r="I72" s="13"/>
      <c r="J72" s="13"/>
      <c r="K72" s="13"/>
      <c r="L72" s="12"/>
      <c r="M72" s="13"/>
      <c r="N72" s="13"/>
      <c r="O72" s="13"/>
      <c r="P72" s="13"/>
      <c r="Q72" s="13"/>
      <c r="R72" s="13"/>
      <c r="S72" s="13"/>
      <c r="T72" s="12"/>
      <c r="U72" s="13"/>
    </row>
    <row r="73" spans="1:21" ht="19.5" customHeight="1" x14ac:dyDescent="0.35">
      <c r="A73" s="8" t="str">
        <f t="shared" si="0"/>
        <v/>
      </c>
      <c r="B73" s="9"/>
      <c r="C73" s="10"/>
      <c r="D73" s="9"/>
      <c r="E73" s="10"/>
      <c r="F73" s="10"/>
      <c r="G73" s="10"/>
      <c r="H73" s="9"/>
      <c r="I73" s="10"/>
      <c r="J73" s="10"/>
      <c r="K73" s="10"/>
      <c r="L73" s="9"/>
      <c r="M73" s="10"/>
      <c r="N73" s="10"/>
      <c r="O73" s="10"/>
      <c r="P73" s="10"/>
      <c r="Q73" s="10"/>
      <c r="R73" s="10"/>
      <c r="S73" s="10"/>
      <c r="T73" s="9"/>
      <c r="U73" s="10"/>
    </row>
    <row r="74" spans="1:21" ht="19.5" customHeight="1" x14ac:dyDescent="0.35">
      <c r="A74" s="11" t="str">
        <f t="shared" si="0"/>
        <v/>
      </c>
      <c r="B74" s="12"/>
      <c r="C74" s="13"/>
      <c r="D74" s="12"/>
      <c r="E74" s="13"/>
      <c r="F74" s="13"/>
      <c r="G74" s="13"/>
      <c r="H74" s="12"/>
      <c r="I74" s="13"/>
      <c r="J74" s="13"/>
      <c r="K74" s="13"/>
      <c r="L74" s="12"/>
      <c r="M74" s="13"/>
      <c r="N74" s="13"/>
      <c r="O74" s="13"/>
      <c r="P74" s="13"/>
      <c r="Q74" s="13"/>
      <c r="R74" s="13"/>
      <c r="S74" s="13"/>
      <c r="T74" s="12"/>
      <c r="U74" s="13"/>
    </row>
    <row r="75" spans="1:21" ht="19.5" customHeight="1" x14ac:dyDescent="0.35">
      <c r="A75" s="8" t="str">
        <f t="shared" si="0"/>
        <v/>
      </c>
      <c r="B75" s="9"/>
      <c r="C75" s="10"/>
      <c r="D75" s="9"/>
      <c r="E75" s="10"/>
      <c r="F75" s="10"/>
      <c r="G75" s="10"/>
      <c r="H75" s="9"/>
      <c r="I75" s="10"/>
      <c r="J75" s="10"/>
      <c r="K75" s="10"/>
      <c r="L75" s="9"/>
      <c r="M75" s="10"/>
      <c r="N75" s="10"/>
      <c r="O75" s="10"/>
      <c r="P75" s="10"/>
      <c r="Q75" s="10"/>
      <c r="R75" s="10"/>
      <c r="S75" s="10"/>
      <c r="T75" s="9"/>
      <c r="U75" s="10"/>
    </row>
    <row r="76" spans="1:21" ht="19.5" customHeight="1" x14ac:dyDescent="0.35">
      <c r="A76" s="11" t="str">
        <f t="shared" si="0"/>
        <v/>
      </c>
      <c r="B76" s="12"/>
      <c r="C76" s="13"/>
      <c r="D76" s="12"/>
      <c r="E76" s="13"/>
      <c r="F76" s="13"/>
      <c r="G76" s="13"/>
      <c r="H76" s="12"/>
      <c r="I76" s="13"/>
      <c r="J76" s="13"/>
      <c r="K76" s="13"/>
      <c r="L76" s="12"/>
      <c r="M76" s="13"/>
      <c r="N76" s="13"/>
      <c r="O76" s="13"/>
      <c r="P76" s="13"/>
      <c r="Q76" s="13"/>
      <c r="R76" s="13"/>
      <c r="S76" s="13"/>
      <c r="T76" s="12"/>
      <c r="U76" s="13"/>
    </row>
    <row r="77" spans="1:21" ht="19.5" customHeight="1" x14ac:dyDescent="0.35">
      <c r="A77" s="8" t="str">
        <f t="shared" ref="A77:A104" si="1">IF(B77&lt;&gt;"",ROW()-4,"")</f>
        <v/>
      </c>
      <c r="B77" s="9"/>
      <c r="C77" s="10"/>
      <c r="D77" s="9"/>
      <c r="E77" s="10"/>
      <c r="F77" s="10"/>
      <c r="G77" s="10"/>
      <c r="H77" s="9"/>
      <c r="I77" s="10"/>
      <c r="J77" s="10"/>
      <c r="K77" s="10"/>
      <c r="L77" s="9"/>
      <c r="M77" s="10"/>
      <c r="N77" s="10"/>
      <c r="O77" s="10"/>
      <c r="P77" s="10"/>
      <c r="Q77" s="10"/>
      <c r="R77" s="10"/>
      <c r="S77" s="10"/>
      <c r="T77" s="9"/>
      <c r="U77" s="10"/>
    </row>
    <row r="78" spans="1:21" ht="19.5" customHeight="1" x14ac:dyDescent="0.35">
      <c r="A78" s="11" t="str">
        <f t="shared" si="1"/>
        <v/>
      </c>
      <c r="B78" s="12"/>
      <c r="C78" s="13"/>
      <c r="D78" s="12"/>
      <c r="E78" s="13"/>
      <c r="F78" s="13"/>
      <c r="G78" s="13"/>
      <c r="H78" s="12"/>
      <c r="I78" s="13"/>
      <c r="J78" s="13"/>
      <c r="K78" s="13"/>
      <c r="L78" s="12"/>
      <c r="M78" s="13"/>
      <c r="N78" s="13"/>
      <c r="O78" s="13"/>
      <c r="P78" s="13"/>
      <c r="Q78" s="13"/>
      <c r="R78" s="13"/>
      <c r="S78" s="13"/>
      <c r="T78" s="12"/>
      <c r="U78" s="13"/>
    </row>
    <row r="79" spans="1:21" ht="19.5" customHeight="1" x14ac:dyDescent="0.35">
      <c r="A79" s="8" t="str">
        <f t="shared" si="1"/>
        <v/>
      </c>
      <c r="B79" s="9"/>
      <c r="C79" s="10"/>
      <c r="D79" s="9"/>
      <c r="E79" s="10"/>
      <c r="F79" s="10"/>
      <c r="G79" s="10"/>
      <c r="H79" s="9"/>
      <c r="I79" s="10"/>
      <c r="J79" s="10"/>
      <c r="K79" s="10"/>
      <c r="L79" s="9"/>
      <c r="M79" s="10"/>
      <c r="N79" s="10"/>
      <c r="O79" s="10"/>
      <c r="P79" s="10"/>
      <c r="Q79" s="10"/>
      <c r="R79" s="10"/>
      <c r="S79" s="10"/>
      <c r="T79" s="9"/>
      <c r="U79" s="10"/>
    </row>
    <row r="80" spans="1:21" ht="19.5" customHeight="1" x14ac:dyDescent="0.35">
      <c r="A80" s="11" t="str">
        <f t="shared" si="1"/>
        <v/>
      </c>
      <c r="B80" s="12"/>
      <c r="C80" s="13"/>
      <c r="D80" s="12"/>
      <c r="E80" s="13"/>
      <c r="F80" s="13"/>
      <c r="G80" s="13"/>
      <c r="H80" s="12"/>
      <c r="I80" s="13"/>
      <c r="J80" s="13"/>
      <c r="K80" s="13"/>
      <c r="L80" s="12"/>
      <c r="M80" s="13"/>
      <c r="N80" s="13"/>
      <c r="O80" s="13"/>
      <c r="P80" s="13"/>
      <c r="Q80" s="13"/>
      <c r="R80" s="13"/>
      <c r="S80" s="13"/>
      <c r="T80" s="12"/>
      <c r="U80" s="13"/>
    </row>
    <row r="81" spans="1:21" ht="19.5" customHeight="1" x14ac:dyDescent="0.35">
      <c r="A81" s="8" t="str">
        <f t="shared" si="1"/>
        <v/>
      </c>
      <c r="B81" s="9"/>
      <c r="C81" s="10"/>
      <c r="D81" s="9"/>
      <c r="E81" s="10"/>
      <c r="F81" s="10"/>
      <c r="G81" s="10"/>
      <c r="H81" s="9"/>
      <c r="I81" s="10"/>
      <c r="J81" s="10"/>
      <c r="K81" s="10"/>
      <c r="L81" s="9"/>
      <c r="M81" s="10"/>
      <c r="N81" s="10"/>
      <c r="O81" s="10"/>
      <c r="P81" s="10"/>
      <c r="Q81" s="10"/>
      <c r="R81" s="10"/>
      <c r="S81" s="10"/>
      <c r="T81" s="9"/>
      <c r="U81" s="10"/>
    </row>
    <row r="82" spans="1:21" ht="19.5" customHeight="1" x14ac:dyDescent="0.35">
      <c r="A82" s="11" t="str">
        <f t="shared" si="1"/>
        <v/>
      </c>
      <c r="B82" s="12"/>
      <c r="C82" s="13"/>
      <c r="D82" s="12"/>
      <c r="E82" s="13"/>
      <c r="F82" s="13"/>
      <c r="G82" s="13"/>
      <c r="H82" s="12"/>
      <c r="I82" s="13"/>
      <c r="J82" s="13"/>
      <c r="K82" s="13"/>
      <c r="L82" s="12"/>
      <c r="M82" s="13"/>
      <c r="N82" s="13"/>
      <c r="O82" s="13"/>
      <c r="P82" s="13"/>
      <c r="Q82" s="13"/>
      <c r="R82" s="13"/>
      <c r="S82" s="13"/>
      <c r="T82" s="12"/>
      <c r="U82" s="13"/>
    </row>
    <row r="83" spans="1:21" ht="19.5" customHeight="1" x14ac:dyDescent="0.35">
      <c r="A83" s="8" t="str">
        <f t="shared" si="1"/>
        <v/>
      </c>
      <c r="B83" s="9"/>
      <c r="C83" s="10"/>
      <c r="D83" s="9"/>
      <c r="E83" s="10"/>
      <c r="F83" s="10"/>
      <c r="G83" s="10"/>
      <c r="H83" s="9"/>
      <c r="I83" s="10"/>
      <c r="J83" s="10"/>
      <c r="K83" s="10"/>
      <c r="L83" s="9"/>
      <c r="M83" s="10"/>
      <c r="N83" s="10"/>
      <c r="O83" s="10"/>
      <c r="P83" s="10"/>
      <c r="Q83" s="10"/>
      <c r="R83" s="10"/>
      <c r="S83" s="10"/>
      <c r="T83" s="9"/>
      <c r="U83" s="10"/>
    </row>
    <row r="84" spans="1:21" ht="19.5" customHeight="1" x14ac:dyDescent="0.35">
      <c r="A84" s="11" t="str">
        <f t="shared" si="1"/>
        <v/>
      </c>
      <c r="B84" s="12"/>
      <c r="C84" s="13"/>
      <c r="D84" s="12"/>
      <c r="E84" s="13"/>
      <c r="F84" s="13"/>
      <c r="G84" s="13"/>
      <c r="H84" s="12"/>
      <c r="I84" s="13"/>
      <c r="J84" s="13"/>
      <c r="K84" s="13"/>
      <c r="L84" s="12"/>
      <c r="M84" s="13"/>
      <c r="N84" s="13"/>
      <c r="O84" s="13"/>
      <c r="P84" s="13"/>
      <c r="Q84" s="13"/>
      <c r="R84" s="13"/>
      <c r="S84" s="13"/>
      <c r="T84" s="12"/>
      <c r="U84" s="13"/>
    </row>
    <row r="85" spans="1:21" ht="19.5" customHeight="1" x14ac:dyDescent="0.35">
      <c r="A85" s="8" t="str">
        <f t="shared" si="1"/>
        <v/>
      </c>
      <c r="B85" s="9"/>
      <c r="C85" s="10"/>
      <c r="D85" s="9"/>
      <c r="E85" s="10"/>
      <c r="F85" s="10"/>
      <c r="G85" s="10"/>
      <c r="H85" s="9"/>
      <c r="I85" s="10"/>
      <c r="J85" s="10"/>
      <c r="K85" s="10"/>
      <c r="L85" s="9"/>
      <c r="M85" s="10"/>
      <c r="N85" s="10"/>
      <c r="O85" s="10"/>
      <c r="P85" s="10"/>
      <c r="Q85" s="10"/>
      <c r="R85" s="10"/>
      <c r="S85" s="10"/>
      <c r="T85" s="9"/>
      <c r="U85" s="10"/>
    </row>
    <row r="86" spans="1:21" ht="19.5" customHeight="1" x14ac:dyDescent="0.35">
      <c r="A86" s="11" t="str">
        <f t="shared" si="1"/>
        <v/>
      </c>
      <c r="B86" s="12"/>
      <c r="C86" s="13"/>
      <c r="D86" s="12"/>
      <c r="E86" s="13"/>
      <c r="F86" s="13"/>
      <c r="G86" s="13"/>
      <c r="H86" s="12"/>
      <c r="I86" s="13"/>
      <c r="J86" s="13"/>
      <c r="K86" s="13"/>
      <c r="L86" s="12"/>
      <c r="M86" s="13"/>
      <c r="N86" s="13"/>
      <c r="O86" s="13"/>
      <c r="P86" s="13"/>
      <c r="Q86" s="13"/>
      <c r="R86" s="13"/>
      <c r="S86" s="13"/>
      <c r="T86" s="12"/>
      <c r="U86" s="13"/>
    </row>
    <row r="87" spans="1:21" ht="19.5" customHeight="1" x14ac:dyDescent="0.35">
      <c r="A87" s="8" t="str">
        <f t="shared" si="1"/>
        <v/>
      </c>
      <c r="B87" s="9"/>
      <c r="C87" s="10"/>
      <c r="D87" s="9"/>
      <c r="E87" s="10"/>
      <c r="F87" s="10"/>
      <c r="G87" s="10"/>
      <c r="H87" s="9"/>
      <c r="I87" s="10"/>
      <c r="J87" s="10"/>
      <c r="K87" s="10"/>
      <c r="L87" s="9"/>
      <c r="M87" s="10"/>
      <c r="N87" s="10"/>
      <c r="O87" s="10"/>
      <c r="P87" s="10"/>
      <c r="Q87" s="10"/>
      <c r="R87" s="10"/>
      <c r="S87" s="10"/>
      <c r="T87" s="9"/>
      <c r="U87" s="10"/>
    </row>
    <row r="88" spans="1:21" ht="19.5" customHeight="1" x14ac:dyDescent="0.35">
      <c r="A88" s="11" t="str">
        <f t="shared" si="1"/>
        <v/>
      </c>
      <c r="B88" s="12"/>
      <c r="C88" s="13"/>
      <c r="D88" s="12"/>
      <c r="E88" s="13"/>
      <c r="F88" s="13"/>
      <c r="G88" s="13"/>
      <c r="H88" s="12"/>
      <c r="I88" s="13"/>
      <c r="J88" s="13"/>
      <c r="K88" s="13"/>
      <c r="L88" s="12"/>
      <c r="M88" s="13"/>
      <c r="N88" s="13"/>
      <c r="O88" s="13"/>
      <c r="P88" s="13"/>
      <c r="Q88" s="13"/>
      <c r="R88" s="13"/>
      <c r="S88" s="13"/>
      <c r="T88" s="12"/>
      <c r="U88" s="13"/>
    </row>
    <row r="89" spans="1:21" ht="19.5" customHeight="1" x14ac:dyDescent="0.35">
      <c r="A89" s="8" t="str">
        <f t="shared" si="1"/>
        <v/>
      </c>
      <c r="B89" s="9"/>
      <c r="C89" s="10"/>
      <c r="D89" s="9"/>
      <c r="E89" s="10"/>
      <c r="F89" s="10"/>
      <c r="G89" s="10"/>
      <c r="H89" s="9"/>
      <c r="I89" s="10"/>
      <c r="J89" s="10"/>
      <c r="K89" s="10"/>
      <c r="L89" s="9"/>
      <c r="M89" s="10"/>
      <c r="N89" s="10"/>
      <c r="O89" s="10"/>
      <c r="P89" s="10"/>
      <c r="Q89" s="10"/>
      <c r="R89" s="10"/>
      <c r="S89" s="10"/>
      <c r="T89" s="9"/>
      <c r="U89" s="10"/>
    </row>
    <row r="90" spans="1:21" ht="19.5" customHeight="1" x14ac:dyDescent="0.35">
      <c r="A90" s="11" t="str">
        <f t="shared" si="1"/>
        <v/>
      </c>
      <c r="B90" s="12"/>
      <c r="C90" s="13"/>
      <c r="D90" s="12"/>
      <c r="E90" s="13"/>
      <c r="F90" s="13"/>
      <c r="G90" s="13"/>
      <c r="H90" s="12"/>
      <c r="I90" s="13"/>
      <c r="J90" s="13"/>
      <c r="K90" s="13"/>
      <c r="L90" s="12"/>
      <c r="M90" s="13"/>
      <c r="N90" s="13"/>
      <c r="O90" s="13"/>
      <c r="P90" s="13"/>
      <c r="Q90" s="13"/>
      <c r="R90" s="13"/>
      <c r="S90" s="13"/>
      <c r="T90" s="12"/>
      <c r="U90" s="13"/>
    </row>
    <row r="91" spans="1:21" ht="19.5" customHeight="1" x14ac:dyDescent="0.35">
      <c r="A91" s="8" t="str">
        <f t="shared" si="1"/>
        <v/>
      </c>
      <c r="B91" s="9"/>
      <c r="C91" s="10"/>
      <c r="D91" s="9"/>
      <c r="E91" s="10"/>
      <c r="F91" s="10"/>
      <c r="G91" s="10"/>
      <c r="H91" s="9"/>
      <c r="I91" s="10"/>
      <c r="J91" s="10"/>
      <c r="K91" s="10"/>
      <c r="L91" s="9"/>
      <c r="M91" s="10"/>
      <c r="N91" s="10"/>
      <c r="O91" s="10"/>
      <c r="P91" s="10"/>
      <c r="Q91" s="10"/>
      <c r="R91" s="10"/>
      <c r="S91" s="10"/>
      <c r="T91" s="9"/>
      <c r="U91" s="10"/>
    </row>
    <row r="92" spans="1:21" ht="19.5" customHeight="1" x14ac:dyDescent="0.35">
      <c r="A92" s="11" t="str">
        <f t="shared" si="1"/>
        <v/>
      </c>
      <c r="B92" s="12"/>
      <c r="C92" s="13"/>
      <c r="D92" s="12"/>
      <c r="E92" s="13"/>
      <c r="F92" s="13"/>
      <c r="G92" s="13"/>
      <c r="H92" s="12"/>
      <c r="I92" s="13"/>
      <c r="J92" s="13"/>
      <c r="K92" s="13"/>
      <c r="L92" s="12"/>
      <c r="M92" s="13"/>
      <c r="N92" s="13"/>
      <c r="O92" s="13"/>
      <c r="P92" s="13"/>
      <c r="Q92" s="13"/>
      <c r="R92" s="13"/>
      <c r="S92" s="13"/>
      <c r="T92" s="12"/>
      <c r="U92" s="13"/>
    </row>
    <row r="93" spans="1:21" ht="19.5" customHeight="1" x14ac:dyDescent="0.35">
      <c r="A93" s="8" t="str">
        <f t="shared" si="1"/>
        <v/>
      </c>
      <c r="B93" s="9"/>
      <c r="C93" s="10"/>
      <c r="D93" s="9"/>
      <c r="E93" s="10"/>
      <c r="F93" s="10"/>
      <c r="G93" s="10"/>
      <c r="H93" s="9"/>
      <c r="I93" s="10"/>
      <c r="J93" s="10"/>
      <c r="K93" s="10"/>
      <c r="L93" s="9"/>
      <c r="M93" s="10"/>
      <c r="N93" s="10"/>
      <c r="O93" s="10"/>
      <c r="P93" s="10"/>
      <c r="Q93" s="10"/>
      <c r="R93" s="10"/>
      <c r="S93" s="10"/>
      <c r="T93" s="9"/>
      <c r="U93" s="10"/>
    </row>
    <row r="94" spans="1:21" ht="19.5" customHeight="1" x14ac:dyDescent="0.35">
      <c r="A94" s="11" t="str">
        <f t="shared" si="1"/>
        <v/>
      </c>
      <c r="B94" s="12"/>
      <c r="C94" s="13"/>
      <c r="D94" s="12"/>
      <c r="E94" s="13"/>
      <c r="F94" s="13"/>
      <c r="G94" s="13"/>
      <c r="H94" s="12"/>
      <c r="I94" s="13"/>
      <c r="J94" s="13"/>
      <c r="K94" s="13"/>
      <c r="L94" s="12"/>
      <c r="M94" s="13"/>
      <c r="N94" s="13"/>
      <c r="O94" s="13"/>
      <c r="P94" s="13"/>
      <c r="Q94" s="13"/>
      <c r="R94" s="13"/>
      <c r="S94" s="13"/>
      <c r="T94" s="12"/>
      <c r="U94" s="13"/>
    </row>
    <row r="95" spans="1:21" ht="19.5" customHeight="1" x14ac:dyDescent="0.35">
      <c r="A95" s="8" t="str">
        <f t="shared" si="1"/>
        <v/>
      </c>
      <c r="B95" s="9"/>
      <c r="C95" s="10"/>
      <c r="D95" s="9"/>
      <c r="E95" s="10"/>
      <c r="F95" s="10"/>
      <c r="G95" s="10"/>
      <c r="H95" s="9"/>
      <c r="I95" s="10"/>
      <c r="J95" s="10"/>
      <c r="K95" s="10"/>
      <c r="L95" s="9"/>
      <c r="M95" s="10"/>
      <c r="N95" s="10"/>
      <c r="O95" s="10"/>
      <c r="P95" s="10"/>
      <c r="Q95" s="10"/>
      <c r="R95" s="10"/>
      <c r="S95" s="10"/>
      <c r="T95" s="9"/>
      <c r="U95" s="10"/>
    </row>
    <row r="96" spans="1:21" ht="19.5" customHeight="1" x14ac:dyDescent="0.35">
      <c r="A96" s="11" t="str">
        <f t="shared" si="1"/>
        <v/>
      </c>
      <c r="B96" s="12"/>
      <c r="C96" s="13"/>
      <c r="D96" s="12"/>
      <c r="E96" s="13"/>
      <c r="F96" s="13"/>
      <c r="G96" s="13"/>
      <c r="H96" s="12"/>
      <c r="I96" s="13"/>
      <c r="J96" s="13"/>
      <c r="K96" s="13"/>
      <c r="L96" s="12"/>
      <c r="M96" s="13"/>
      <c r="N96" s="13"/>
      <c r="O96" s="13"/>
      <c r="P96" s="13"/>
      <c r="Q96" s="13"/>
      <c r="R96" s="13"/>
      <c r="S96" s="13"/>
      <c r="T96" s="12"/>
      <c r="U96" s="13"/>
    </row>
    <row r="97" spans="1:21" ht="19.5" customHeight="1" x14ac:dyDescent="0.35">
      <c r="A97" s="8" t="str">
        <f t="shared" si="1"/>
        <v/>
      </c>
      <c r="B97" s="9"/>
      <c r="C97" s="10"/>
      <c r="D97" s="9"/>
      <c r="E97" s="10"/>
      <c r="F97" s="10"/>
      <c r="G97" s="10"/>
      <c r="H97" s="9"/>
      <c r="I97" s="10"/>
      <c r="J97" s="10"/>
      <c r="K97" s="10"/>
      <c r="L97" s="9"/>
      <c r="M97" s="10"/>
      <c r="N97" s="10"/>
      <c r="O97" s="10"/>
      <c r="P97" s="10"/>
      <c r="Q97" s="10"/>
      <c r="R97" s="10"/>
      <c r="S97" s="10"/>
      <c r="T97" s="9"/>
      <c r="U97" s="10"/>
    </row>
    <row r="98" spans="1:21" ht="19.5" customHeight="1" x14ac:dyDescent="0.35">
      <c r="A98" s="11" t="str">
        <f t="shared" si="1"/>
        <v/>
      </c>
      <c r="B98" s="12"/>
      <c r="C98" s="13"/>
      <c r="D98" s="12"/>
      <c r="E98" s="13"/>
      <c r="F98" s="13"/>
      <c r="G98" s="13"/>
      <c r="H98" s="12"/>
      <c r="I98" s="13"/>
      <c r="J98" s="13"/>
      <c r="K98" s="13"/>
      <c r="L98" s="12"/>
      <c r="M98" s="13"/>
      <c r="N98" s="13"/>
      <c r="O98" s="13"/>
      <c r="P98" s="13"/>
      <c r="Q98" s="13"/>
      <c r="R98" s="13"/>
      <c r="S98" s="13"/>
      <c r="T98" s="12"/>
      <c r="U98" s="13"/>
    </row>
    <row r="99" spans="1:21" ht="19.5" customHeight="1" x14ac:dyDescent="0.35">
      <c r="A99" s="8" t="str">
        <f t="shared" si="1"/>
        <v/>
      </c>
      <c r="B99" s="9"/>
      <c r="C99" s="10"/>
      <c r="D99" s="9"/>
      <c r="E99" s="10"/>
      <c r="F99" s="10"/>
      <c r="G99" s="10"/>
      <c r="H99" s="9"/>
      <c r="I99" s="10"/>
      <c r="J99" s="10"/>
      <c r="K99" s="10"/>
      <c r="L99" s="9"/>
      <c r="M99" s="10"/>
      <c r="N99" s="10"/>
      <c r="O99" s="10"/>
      <c r="P99" s="10"/>
      <c r="Q99" s="10"/>
      <c r="R99" s="10"/>
      <c r="S99" s="10"/>
      <c r="T99" s="9"/>
      <c r="U99" s="10"/>
    </row>
    <row r="100" spans="1:21" ht="19.5" customHeight="1" x14ac:dyDescent="0.35">
      <c r="A100" s="11" t="str">
        <f t="shared" si="1"/>
        <v/>
      </c>
      <c r="B100" s="12"/>
      <c r="C100" s="13"/>
      <c r="D100" s="12"/>
      <c r="E100" s="13"/>
      <c r="F100" s="13"/>
      <c r="G100" s="13"/>
      <c r="H100" s="12"/>
      <c r="I100" s="13"/>
      <c r="J100" s="13"/>
      <c r="K100" s="13"/>
      <c r="L100" s="12"/>
      <c r="M100" s="13"/>
      <c r="N100" s="13"/>
      <c r="O100" s="13"/>
      <c r="P100" s="13"/>
      <c r="Q100" s="13"/>
      <c r="R100" s="13"/>
      <c r="S100" s="13"/>
      <c r="T100" s="12"/>
      <c r="U100" s="13"/>
    </row>
    <row r="101" spans="1:21" ht="19.5" customHeight="1" x14ac:dyDescent="0.35">
      <c r="A101" s="8" t="str">
        <f t="shared" si="1"/>
        <v/>
      </c>
      <c r="B101" s="9"/>
      <c r="C101" s="10"/>
      <c r="D101" s="9"/>
      <c r="E101" s="10"/>
      <c r="F101" s="10"/>
      <c r="G101" s="10"/>
      <c r="H101" s="9"/>
      <c r="I101" s="10"/>
      <c r="J101" s="10"/>
      <c r="K101" s="10"/>
      <c r="L101" s="9"/>
      <c r="M101" s="10"/>
      <c r="N101" s="10"/>
      <c r="O101" s="10"/>
      <c r="P101" s="10"/>
      <c r="Q101" s="10"/>
      <c r="R101" s="10"/>
      <c r="S101" s="10"/>
      <c r="T101" s="9"/>
      <c r="U101" s="10"/>
    </row>
    <row r="102" spans="1:21" ht="19.5" customHeight="1" x14ac:dyDescent="0.35">
      <c r="A102" s="11" t="str">
        <f t="shared" si="1"/>
        <v/>
      </c>
      <c r="B102" s="12"/>
      <c r="C102" s="13"/>
      <c r="D102" s="12"/>
      <c r="E102" s="13"/>
      <c r="F102" s="13"/>
      <c r="G102" s="13"/>
      <c r="H102" s="12"/>
      <c r="I102" s="13"/>
      <c r="J102" s="13"/>
      <c r="K102" s="13"/>
      <c r="L102" s="12"/>
      <c r="M102" s="13"/>
      <c r="N102" s="13"/>
      <c r="O102" s="13"/>
      <c r="P102" s="13"/>
      <c r="Q102" s="13"/>
      <c r="R102" s="13"/>
      <c r="S102" s="13"/>
      <c r="T102" s="12"/>
      <c r="U102" s="13"/>
    </row>
    <row r="103" spans="1:21" ht="19.5" customHeight="1" x14ac:dyDescent="0.35">
      <c r="A103" s="8" t="str">
        <f t="shared" si="1"/>
        <v/>
      </c>
      <c r="B103" s="9"/>
      <c r="C103" s="10"/>
      <c r="D103" s="9"/>
      <c r="E103" s="10"/>
      <c r="F103" s="10"/>
      <c r="G103" s="10"/>
      <c r="H103" s="9"/>
      <c r="I103" s="10"/>
      <c r="J103" s="10"/>
      <c r="K103" s="10"/>
      <c r="L103" s="9"/>
      <c r="M103" s="10"/>
      <c r="N103" s="10"/>
      <c r="O103" s="10"/>
      <c r="P103" s="10"/>
      <c r="Q103" s="10"/>
      <c r="R103" s="10"/>
      <c r="S103" s="10"/>
      <c r="T103" s="9"/>
      <c r="U103" s="10"/>
    </row>
    <row r="104" spans="1:21" ht="19.5" customHeight="1" x14ac:dyDescent="0.35">
      <c r="A104" s="11" t="str">
        <f t="shared" si="1"/>
        <v/>
      </c>
      <c r="B104" s="12"/>
      <c r="C104" s="13"/>
      <c r="D104" s="12"/>
      <c r="E104" s="13"/>
      <c r="F104" s="13"/>
      <c r="G104" s="13"/>
      <c r="H104" s="12"/>
      <c r="I104" s="13"/>
      <c r="J104" s="13"/>
      <c r="K104" s="13"/>
      <c r="L104" s="12"/>
      <c r="M104" s="13"/>
      <c r="N104" s="13"/>
      <c r="O104" s="13"/>
      <c r="P104" s="13"/>
      <c r="Q104" s="13"/>
      <c r="R104" s="13"/>
      <c r="S104" s="13"/>
      <c r="T104" s="12"/>
      <c r="U104" s="13"/>
    </row>
  </sheetData>
  <mergeCells count="7">
    <mergeCell ref="A1:U1"/>
    <mergeCell ref="A2:U2"/>
    <mergeCell ref="A3:G3"/>
    <mergeCell ref="H3:K3"/>
    <mergeCell ref="L3:M3"/>
    <mergeCell ref="O3:Q3"/>
    <mergeCell ref="R3:U3"/>
  </mergeCells>
  <dataValidations count="7">
    <dataValidation type="list" allowBlank="1" sqref="E5:E104 I5:I104 K5:K104" xr:uid="{00000000-0002-0000-0000-000000000000}">
      <formula1>"Yes,No"</formula1>
      <formula2>0</formula2>
    </dataValidation>
    <dataValidation type="list" allowBlank="1" sqref="F5:F104" xr:uid="{00000000-0002-0000-0000-000001000000}">
      <formula1>"Homeowner,Renovating,First-time buyer,Interior designer,Other"</formula1>
      <formula2>0</formula2>
    </dataValidation>
    <dataValidation type="list" allowBlank="1" sqref="G5:G104" xr:uid="{00000000-0002-0000-0000-000002000000}">
      <formula1>"Asian Paints,Birla Opus,Dulux Paints,JSW Paints"</formula1>
      <formula2>0</formula2>
    </dataValidation>
    <dataValidation type="list" allowBlank="1" sqref="J5:J104" xr:uid="{00000000-0002-0000-0000-000003000000}">
      <formula1>"Interior Paint,Exterior Paint,Waterproofing,Primer,Not Sure"</formula1>
      <formula2>0</formula2>
    </dataValidation>
    <dataValidation type="list" allowBlank="1" sqref="M5:M104" xr:uid="{00000000-0002-0000-0000-000004000000}">
      <formula1>"5 - Correct,3 - Partially correct,0 - Incorrect"</formula1>
      <formula2>0</formula2>
    </dataValidation>
    <dataValidation type="whole" allowBlank="1" sqref="N5:N104 R5:S104 U5:U104" xr:uid="{00000000-0002-0000-0000-000005000000}">
      <formula1>1</formula1>
      <formula2>0</formula2>
    </dataValidation>
    <dataValidation type="list" allowBlank="1" sqref="O5:Q104" xr:uid="{00000000-0002-0000-0000-000006000000}">
      <formula1>"Brand Name,Product Name,Benefit Claim,Product Image,Colour,Other"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4"/>
  <sheetViews>
    <sheetView showGridLines="0" tabSelected="1" topLeftCell="B1" zoomScale="85" zoomScaleNormal="85" workbookViewId="0">
      <pane ySplit="4" topLeftCell="A5" activePane="bottomLeft" state="frozen"/>
      <selection pane="bottomLeft" activeCell="J4" sqref="J4"/>
    </sheetView>
  </sheetViews>
  <sheetFormatPr defaultColWidth="8.6328125" defaultRowHeight="14.5" x14ac:dyDescent="0.35"/>
  <cols>
    <col min="1" max="1" width="6" customWidth="1"/>
    <col min="2" max="2" width="20" customWidth="1"/>
    <col min="3" max="3" width="14" customWidth="1"/>
    <col min="4" max="4" width="16" customWidth="1"/>
    <col min="5" max="5" width="12.36328125" customWidth="1"/>
    <col min="6" max="6" width="12.6328125" customWidth="1"/>
    <col min="7" max="7" width="13.54296875" customWidth="1"/>
    <col min="8" max="8" width="11.54296875" customWidth="1"/>
    <col min="9" max="9" width="13.26953125" customWidth="1"/>
    <col min="10" max="11" width="10" customWidth="1"/>
    <col min="12" max="14" width="16" customWidth="1"/>
  </cols>
  <sheetData>
    <row r="1" spans="1:14" ht="25.5" customHeight="1" x14ac:dyDescent="0.35">
      <c r="A1" s="33" t="s">
        <v>171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</row>
    <row r="2" spans="1:14" ht="13.5" customHeight="1" x14ac:dyDescent="0.35">
      <c r="A2" s="34" t="s">
        <v>172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</row>
    <row r="3" spans="1:14" ht="42.75" customHeight="1" x14ac:dyDescent="0.35">
      <c r="A3" s="36" t="s">
        <v>173</v>
      </c>
      <c r="B3" s="36"/>
      <c r="C3" s="36"/>
      <c r="D3" s="36"/>
      <c r="E3" s="1" t="s">
        <v>174</v>
      </c>
      <c r="F3" s="1" t="s">
        <v>175</v>
      </c>
      <c r="G3" s="1" t="s">
        <v>176</v>
      </c>
      <c r="H3" s="1" t="s">
        <v>177</v>
      </c>
      <c r="I3" s="1" t="s">
        <v>178</v>
      </c>
      <c r="J3" s="36" t="s">
        <v>179</v>
      </c>
      <c r="K3" s="36"/>
      <c r="L3" s="36" t="s">
        <v>180</v>
      </c>
      <c r="M3" s="36"/>
      <c r="N3" s="36"/>
    </row>
    <row r="4" spans="1:14" ht="33.75" customHeight="1" x14ac:dyDescent="0.35">
      <c r="A4" s="4">
        <v>1</v>
      </c>
      <c r="B4" s="4" t="str">
        <f>'📋 Data Entry'!B5</f>
        <v>Meera Malhotra</v>
      </c>
      <c r="C4" s="4" t="str">
        <f>'📋 Data Entry'!D5</f>
        <v>Nagpur</v>
      </c>
      <c r="D4" s="4" t="str">
        <f>'📋 Data Entry'!G5</f>
        <v>DP</v>
      </c>
      <c r="E4" s="4">
        <f>IF('📋 Data Entry'!I5="Yes",5,0)</f>
        <v>0</v>
      </c>
      <c r="F4" s="4">
        <f>IF('📋 Data Entry'!K5="Yes",5,0)</f>
        <v>5</v>
      </c>
      <c r="G4" s="4">
        <f>'📋 Data Entry'!M5</f>
        <v>3</v>
      </c>
      <c r="H4" s="4">
        <f>'📋 Data Entry'!N5</f>
        <v>3</v>
      </c>
      <c r="I4" s="4">
        <f>'📋 Data Entry'!U5</f>
        <v>5</v>
      </c>
      <c r="J4" s="4">
        <f t="shared" ref="J4:J43" si="0">IFERROR((E4*0.25 + F4*0.2 + G4*0.25 + H4*0.15 + I4*0.15)*20, "")</f>
        <v>59</v>
      </c>
      <c r="K4" s="4" t="str">
        <f t="shared" ref="K4:K43" si="1">IF(J4="","",IF(J4&gt;=80,"A",IF(J4&gt;=65,"B",IF(J4&gt;=50,"C","D"))))</f>
        <v>C</v>
      </c>
      <c r="L4" s="4" t="str">
        <f>'📋 Data Entry'!O5</f>
        <v>Usage Instructions</v>
      </c>
      <c r="M4" s="4" t="str">
        <f>'📋 Data Entry'!P5</f>
        <v>Product Name</v>
      </c>
      <c r="N4" s="4" t="str">
        <f>'📋 Data Entry'!Q5</f>
        <v>Colour Swatch</v>
      </c>
    </row>
    <row r="5" spans="1:14" ht="19.5" customHeight="1" x14ac:dyDescent="0.35">
      <c r="A5" s="6">
        <v>2</v>
      </c>
      <c r="B5" s="6" t="str">
        <f>'📋 Data Entry'!B6</f>
        <v>Arjun Desai</v>
      </c>
      <c r="C5" s="6" t="str">
        <f>'📋 Data Entry'!D6</f>
        <v>Chennai</v>
      </c>
      <c r="D5" s="6" t="str">
        <f>'📋 Data Entry'!G6</f>
        <v>BO</v>
      </c>
      <c r="E5" s="6">
        <f>IF('📋 Data Entry'!I6="Yes",5,0)</f>
        <v>5</v>
      </c>
      <c r="F5" s="6">
        <f>IF('📋 Data Entry'!K6="Yes",5,0)</f>
        <v>5</v>
      </c>
      <c r="G5" s="6">
        <f>'📋 Data Entry'!M6</f>
        <v>5</v>
      </c>
      <c r="H5" s="6">
        <f>'📋 Data Entry'!N6</f>
        <v>5</v>
      </c>
      <c r="I5" s="6">
        <f>'📋 Data Entry'!U6</f>
        <v>4</v>
      </c>
      <c r="J5" s="6">
        <f t="shared" si="0"/>
        <v>97</v>
      </c>
      <c r="K5" s="6" t="str">
        <f t="shared" si="1"/>
        <v>A</v>
      </c>
      <c r="L5" s="6" t="str">
        <f>'📋 Data Entry'!O6</f>
        <v>Warranty Badge</v>
      </c>
      <c r="M5" s="6" t="str">
        <f>'📋 Data Entry'!P6</f>
        <v>Feature Claims</v>
      </c>
      <c r="N5" s="6" t="str">
        <f>'📋 Data Entry'!Q6</f>
        <v>Eco Certifications</v>
      </c>
    </row>
    <row r="6" spans="1:14" ht="19.5" customHeight="1" x14ac:dyDescent="0.35">
      <c r="A6" s="4">
        <v>3</v>
      </c>
      <c r="B6" s="4" t="str">
        <f>'📋 Data Entry'!B7</f>
        <v>Kiran Pillai</v>
      </c>
      <c r="C6" s="4" t="str">
        <f>'📋 Data Entry'!D7</f>
        <v>Hyderabad</v>
      </c>
      <c r="D6" s="4" t="str">
        <f>'📋 Data Entry'!G7</f>
        <v>BO</v>
      </c>
      <c r="E6" s="4">
        <f>IF('📋 Data Entry'!I7="Yes",5,0)</f>
        <v>5</v>
      </c>
      <c r="F6" s="4">
        <f>IF('📋 Data Entry'!K7="Yes",5,0)</f>
        <v>5</v>
      </c>
      <c r="G6" s="4">
        <f>'📋 Data Entry'!M7</f>
        <v>3</v>
      </c>
      <c r="H6" s="4">
        <f>'📋 Data Entry'!N7</f>
        <v>5</v>
      </c>
      <c r="I6" s="4">
        <f>'📋 Data Entry'!U7</f>
        <v>5</v>
      </c>
      <c r="J6" s="4">
        <f t="shared" si="0"/>
        <v>90</v>
      </c>
      <c r="K6" s="4" t="str">
        <f t="shared" si="1"/>
        <v>A</v>
      </c>
      <c r="L6" s="4" t="str">
        <f>'📋 Data Entry'!O7</f>
        <v>Pack Size</v>
      </c>
      <c r="M6" s="4" t="str">
        <f>'📋 Data Entry'!P7</f>
        <v>Warranty Badge</v>
      </c>
      <c r="N6" s="4" t="str">
        <f>'📋 Data Entry'!Q7</f>
        <v>Finish Level Icon</v>
      </c>
    </row>
    <row r="7" spans="1:14" ht="19.5" customHeight="1" x14ac:dyDescent="0.35">
      <c r="A7" s="6">
        <v>4</v>
      </c>
      <c r="B7" s="6" t="str">
        <f>'📋 Data Entry'!B8</f>
        <v>Mohan Shah</v>
      </c>
      <c r="C7" s="6" t="str">
        <f>'📋 Data Entry'!D8</f>
        <v>Lucknow</v>
      </c>
      <c r="D7" s="6" t="str">
        <f>'📋 Data Entry'!G8</f>
        <v>JSW</v>
      </c>
      <c r="E7" s="6">
        <f>IF('📋 Data Entry'!I8="Yes",5,0)</f>
        <v>5</v>
      </c>
      <c r="F7" s="6">
        <f>IF('📋 Data Entry'!K8="Yes",5,0)</f>
        <v>0</v>
      </c>
      <c r="G7" s="6">
        <f>'📋 Data Entry'!M8</f>
        <v>4</v>
      </c>
      <c r="H7" s="6">
        <f>'📋 Data Entry'!N8</f>
        <v>2</v>
      </c>
      <c r="I7" s="6">
        <f>'📋 Data Entry'!U8</f>
        <v>4</v>
      </c>
      <c r="J7" s="6">
        <f t="shared" si="0"/>
        <v>63</v>
      </c>
      <c r="K7" s="6" t="str">
        <f t="shared" si="1"/>
        <v>C</v>
      </c>
      <c r="L7" s="6" t="str">
        <f>'📋 Data Entry'!O8</f>
        <v>Feature Claims</v>
      </c>
      <c r="M7" s="6" t="str">
        <f>'📋 Data Entry'!P8</f>
        <v>Usage Instructions</v>
      </c>
      <c r="N7" s="6" t="str">
        <f>'📋 Data Entry'!Q8</f>
        <v>Warranty Badge</v>
      </c>
    </row>
    <row r="8" spans="1:14" ht="19.5" customHeight="1" x14ac:dyDescent="0.35">
      <c r="A8" s="4">
        <v>5</v>
      </c>
      <c r="B8" s="4" t="str">
        <f>'📋 Data Entry'!B9</f>
        <v>Meera Verma</v>
      </c>
      <c r="C8" s="4" t="str">
        <f>'📋 Data Entry'!D9</f>
        <v>Kolkata</v>
      </c>
      <c r="D8" s="4" t="str">
        <f>'📋 Data Entry'!G9</f>
        <v>DP</v>
      </c>
      <c r="E8" s="4">
        <f>IF('📋 Data Entry'!I9="Yes",5,0)</f>
        <v>5</v>
      </c>
      <c r="F8" s="4">
        <f>IF('📋 Data Entry'!K9="Yes",5,0)</f>
        <v>0</v>
      </c>
      <c r="G8" s="4">
        <f>'📋 Data Entry'!M9</f>
        <v>3</v>
      </c>
      <c r="H8" s="4">
        <f>'📋 Data Entry'!N9</f>
        <v>3</v>
      </c>
      <c r="I8" s="4">
        <f>'📋 Data Entry'!U9</f>
        <v>5</v>
      </c>
      <c r="J8" s="4">
        <f t="shared" si="0"/>
        <v>64</v>
      </c>
      <c r="K8" s="4" t="str">
        <f t="shared" si="1"/>
        <v>C</v>
      </c>
      <c r="L8" s="4" t="str">
        <f>'📋 Data Entry'!O9</f>
        <v>Eco Certifications</v>
      </c>
      <c r="M8" s="4" t="str">
        <f>'📋 Data Entry'!P9</f>
        <v>Price Info</v>
      </c>
      <c r="N8" s="4" t="str">
        <f>'📋 Data Entry'!Q9</f>
        <v>Finish Level Icon</v>
      </c>
    </row>
    <row r="9" spans="1:14" ht="19.5" customHeight="1" x14ac:dyDescent="0.35">
      <c r="A9" s="6">
        <v>6</v>
      </c>
      <c r="B9" s="6" t="str">
        <f>'📋 Data Entry'!B10</f>
        <v>Pooja Desai</v>
      </c>
      <c r="C9" s="6" t="str">
        <f>'📋 Data Entry'!D10</f>
        <v>Ahmedabad</v>
      </c>
      <c r="D9" s="6" t="str">
        <f>'📋 Data Entry'!G10</f>
        <v>AP</v>
      </c>
      <c r="E9" s="6">
        <f>IF('📋 Data Entry'!I10="Yes",5,0)</f>
        <v>5</v>
      </c>
      <c r="F9" s="6">
        <f>IF('📋 Data Entry'!K10="Yes",5,0)</f>
        <v>5</v>
      </c>
      <c r="G9" s="6">
        <f>'📋 Data Entry'!M10</f>
        <v>3</v>
      </c>
      <c r="H9" s="6">
        <f>'📋 Data Entry'!N10</f>
        <v>3</v>
      </c>
      <c r="I9" s="6">
        <f>'📋 Data Entry'!U10</f>
        <v>3</v>
      </c>
      <c r="J9" s="6">
        <f t="shared" si="0"/>
        <v>78</v>
      </c>
      <c r="K9" s="6" t="str">
        <f t="shared" si="1"/>
        <v>B</v>
      </c>
      <c r="L9" s="6" t="str">
        <f>'📋 Data Entry'!O10</f>
        <v>Warranty Badge</v>
      </c>
      <c r="M9" s="6" t="str">
        <f>'📋 Data Entry'!P10</f>
        <v>Finish Level Icon</v>
      </c>
      <c r="N9" s="6" t="str">
        <f>'📋 Data Entry'!Q10</f>
        <v>Usage Instructions</v>
      </c>
    </row>
    <row r="10" spans="1:14" ht="19.5" customHeight="1" x14ac:dyDescent="0.35">
      <c r="A10" s="4">
        <v>7</v>
      </c>
      <c r="B10" s="4" t="str">
        <f>'📋 Data Entry'!B11</f>
        <v>Bharat Singh</v>
      </c>
      <c r="C10" s="4" t="str">
        <f>'📋 Data Entry'!D11</f>
        <v>Lucknow</v>
      </c>
      <c r="D10" s="4" t="str">
        <f>'📋 Data Entry'!G11</f>
        <v>AP</v>
      </c>
      <c r="E10" s="4">
        <f>IF('📋 Data Entry'!I11="Yes",5,0)</f>
        <v>5</v>
      </c>
      <c r="F10" s="4">
        <f>IF('📋 Data Entry'!K11="Yes",5,0)</f>
        <v>5</v>
      </c>
      <c r="G10" s="4">
        <f>'📋 Data Entry'!M11</f>
        <v>3</v>
      </c>
      <c r="H10" s="4">
        <f>'📋 Data Entry'!N11</f>
        <v>3</v>
      </c>
      <c r="I10" s="4">
        <f>'📋 Data Entry'!U11</f>
        <v>4</v>
      </c>
      <c r="J10" s="4">
        <f t="shared" si="0"/>
        <v>81</v>
      </c>
      <c r="K10" s="4" t="str">
        <f t="shared" si="1"/>
        <v>A</v>
      </c>
      <c r="L10" s="4" t="str">
        <f>'📋 Data Entry'!O11</f>
        <v>Pack Size</v>
      </c>
      <c r="M10" s="4" t="str">
        <f>'📋 Data Entry'!P11</f>
        <v>Brand Name</v>
      </c>
      <c r="N10" s="4" t="str">
        <f>'📋 Data Entry'!Q11</f>
        <v>Product Name</v>
      </c>
    </row>
    <row r="11" spans="1:14" ht="19.5" customHeight="1" x14ac:dyDescent="0.35">
      <c r="A11" s="6">
        <v>8</v>
      </c>
      <c r="B11" s="6" t="str">
        <f>'📋 Data Entry'!B12</f>
        <v>Priya Iyer</v>
      </c>
      <c r="C11" s="6" t="str">
        <f>'📋 Data Entry'!D12</f>
        <v>Kolkata</v>
      </c>
      <c r="D11" s="6" t="str">
        <f>'📋 Data Entry'!G12</f>
        <v>BO</v>
      </c>
      <c r="E11" s="6">
        <f>IF('📋 Data Entry'!I12="Yes",5,0)</f>
        <v>5</v>
      </c>
      <c r="F11" s="6">
        <f>IF('📋 Data Entry'!K12="Yes",5,0)</f>
        <v>0</v>
      </c>
      <c r="G11" s="6">
        <f>'📋 Data Entry'!M12</f>
        <v>3</v>
      </c>
      <c r="H11" s="6">
        <f>'📋 Data Entry'!N12</f>
        <v>4</v>
      </c>
      <c r="I11" s="6">
        <f>'📋 Data Entry'!U12</f>
        <v>5</v>
      </c>
      <c r="J11" s="6">
        <f t="shared" si="0"/>
        <v>67</v>
      </c>
      <c r="K11" s="6" t="str">
        <f t="shared" si="1"/>
        <v>B</v>
      </c>
      <c r="L11" s="6" t="str">
        <f>'📋 Data Entry'!O12</f>
        <v>Feature Claims</v>
      </c>
      <c r="M11" s="6" t="str">
        <f>'📋 Data Entry'!P12</f>
        <v>Usage Instructions</v>
      </c>
      <c r="N11" s="6" t="str">
        <f>'📋 Data Entry'!Q12</f>
        <v>Finish Level Icon</v>
      </c>
    </row>
    <row r="12" spans="1:14" ht="19.5" customHeight="1" x14ac:dyDescent="0.35">
      <c r="A12" s="4">
        <v>9</v>
      </c>
      <c r="B12" s="4" t="str">
        <f>'📋 Data Entry'!B13</f>
        <v>Deepak Yadav</v>
      </c>
      <c r="C12" s="4" t="str">
        <f>'📋 Data Entry'!D13</f>
        <v>Delhi</v>
      </c>
      <c r="D12" s="4" t="str">
        <f>'📋 Data Entry'!G13</f>
        <v>BO</v>
      </c>
      <c r="E12" s="4">
        <f>IF('📋 Data Entry'!I13="Yes",5,0)</f>
        <v>5</v>
      </c>
      <c r="F12" s="4">
        <f>IF('📋 Data Entry'!K13="Yes",5,0)</f>
        <v>5</v>
      </c>
      <c r="G12" s="4">
        <f>'📋 Data Entry'!M13</f>
        <v>3</v>
      </c>
      <c r="H12" s="4">
        <f>'📋 Data Entry'!N13</f>
        <v>5</v>
      </c>
      <c r="I12" s="4">
        <f>'📋 Data Entry'!U13</f>
        <v>5</v>
      </c>
      <c r="J12" s="4">
        <f t="shared" si="0"/>
        <v>90</v>
      </c>
      <c r="K12" s="4" t="str">
        <f t="shared" si="1"/>
        <v>A</v>
      </c>
      <c r="L12" s="4" t="str">
        <f>'📋 Data Entry'!O13</f>
        <v>Pack Size</v>
      </c>
      <c r="M12" s="4" t="str">
        <f>'📋 Data Entry'!P13</f>
        <v>Brand Name</v>
      </c>
      <c r="N12" s="4" t="str">
        <f>'📋 Data Entry'!Q13</f>
        <v>Price Info</v>
      </c>
    </row>
    <row r="13" spans="1:14" ht="19.5" customHeight="1" x14ac:dyDescent="0.35">
      <c r="A13" s="6">
        <v>10</v>
      </c>
      <c r="B13" s="6" t="str">
        <f>'📋 Data Entry'!B14</f>
        <v>Ashok Bose</v>
      </c>
      <c r="C13" s="6" t="str">
        <f>'📋 Data Entry'!D14</f>
        <v>Pune</v>
      </c>
      <c r="D13" s="6" t="str">
        <f>'📋 Data Entry'!G14</f>
        <v>BO</v>
      </c>
      <c r="E13" s="6">
        <f>IF('📋 Data Entry'!I14="Yes",5,0)</f>
        <v>5</v>
      </c>
      <c r="F13" s="6">
        <f>IF('📋 Data Entry'!K14="Yes",5,0)</f>
        <v>5</v>
      </c>
      <c r="G13" s="6">
        <f>'📋 Data Entry'!M14</f>
        <v>3</v>
      </c>
      <c r="H13" s="6">
        <f>'📋 Data Entry'!N14</f>
        <v>3</v>
      </c>
      <c r="I13" s="6">
        <f>'📋 Data Entry'!U14</f>
        <v>5</v>
      </c>
      <c r="J13" s="6">
        <f t="shared" si="0"/>
        <v>84</v>
      </c>
      <c r="K13" s="6" t="str">
        <f t="shared" si="1"/>
        <v>A</v>
      </c>
      <c r="L13" s="6" t="str">
        <f>'📋 Data Entry'!O14</f>
        <v>Product Name</v>
      </c>
      <c r="M13" s="6" t="str">
        <f>'📋 Data Entry'!P14</f>
        <v>Finish Level Icon</v>
      </c>
      <c r="N13" s="6" t="str">
        <f>'📋 Data Entry'!Q14</f>
        <v>Warranty Badge</v>
      </c>
    </row>
    <row r="14" spans="1:14" ht="19.5" customHeight="1" x14ac:dyDescent="0.35">
      <c r="A14" s="4">
        <v>11</v>
      </c>
      <c r="B14" s="4" t="str">
        <f>'📋 Data Entry'!B15</f>
        <v>Ankit Malhotra</v>
      </c>
      <c r="C14" s="4" t="str">
        <f>'📋 Data Entry'!D15</f>
        <v>Delhi</v>
      </c>
      <c r="D14" s="4" t="str">
        <f>'📋 Data Entry'!G15</f>
        <v>BO</v>
      </c>
      <c r="E14" s="4">
        <f>IF('📋 Data Entry'!I15="Yes",5,0)</f>
        <v>5</v>
      </c>
      <c r="F14" s="4">
        <f>IF('📋 Data Entry'!K15="Yes",5,0)</f>
        <v>5</v>
      </c>
      <c r="G14" s="4">
        <f>'📋 Data Entry'!M15</f>
        <v>5</v>
      </c>
      <c r="H14" s="4">
        <f>'📋 Data Entry'!N15</f>
        <v>5</v>
      </c>
      <c r="I14" s="4">
        <f>'📋 Data Entry'!U15</f>
        <v>5</v>
      </c>
      <c r="J14" s="4">
        <f t="shared" si="0"/>
        <v>100</v>
      </c>
      <c r="K14" s="4" t="str">
        <f t="shared" si="1"/>
        <v>A</v>
      </c>
      <c r="L14" s="4" t="str">
        <f>'📋 Data Entry'!O15</f>
        <v>Finish Level Icon</v>
      </c>
      <c r="M14" s="4" t="str">
        <f>'📋 Data Entry'!P15</f>
        <v>Pack Size</v>
      </c>
      <c r="N14" s="4" t="str">
        <f>'📋 Data Entry'!Q15</f>
        <v>Price Info</v>
      </c>
    </row>
    <row r="15" spans="1:14" ht="19.5" customHeight="1" x14ac:dyDescent="0.35">
      <c r="A15" s="6">
        <v>12</v>
      </c>
      <c r="B15" s="6" t="str">
        <f>'📋 Data Entry'!B16</f>
        <v>Suresh Menon</v>
      </c>
      <c r="C15" s="6" t="str">
        <f>'📋 Data Entry'!D16</f>
        <v>Hyderabad</v>
      </c>
      <c r="D15" s="6" t="str">
        <f>'📋 Data Entry'!G16</f>
        <v>JSW</v>
      </c>
      <c r="E15" s="6">
        <f>IF('📋 Data Entry'!I16="Yes",5,0)</f>
        <v>5</v>
      </c>
      <c r="F15" s="6">
        <f>IF('📋 Data Entry'!K16="Yes",5,0)</f>
        <v>5</v>
      </c>
      <c r="G15" s="6">
        <f>'📋 Data Entry'!M16</f>
        <v>3</v>
      </c>
      <c r="H15" s="6">
        <f>'📋 Data Entry'!N16</f>
        <v>3</v>
      </c>
      <c r="I15" s="6">
        <f>'📋 Data Entry'!U16</f>
        <v>2</v>
      </c>
      <c r="J15" s="6">
        <f t="shared" si="0"/>
        <v>75</v>
      </c>
      <c r="K15" s="6" t="str">
        <f t="shared" si="1"/>
        <v>B</v>
      </c>
      <c r="L15" s="6" t="str">
        <f>'📋 Data Entry'!O16</f>
        <v>Product Name</v>
      </c>
      <c r="M15" s="6" t="str">
        <f>'📋 Data Entry'!P16</f>
        <v>Brand Name</v>
      </c>
      <c r="N15" s="6" t="str">
        <f>'📋 Data Entry'!Q16</f>
        <v>Usage Instructions</v>
      </c>
    </row>
    <row r="16" spans="1:14" ht="19.5" customHeight="1" x14ac:dyDescent="0.35">
      <c r="A16" s="4">
        <v>13</v>
      </c>
      <c r="B16" s="4" t="str">
        <f>'📋 Data Entry'!B17</f>
        <v>Prakash Pandey</v>
      </c>
      <c r="C16" s="4" t="str">
        <f>'📋 Data Entry'!D17</f>
        <v>Nagpur</v>
      </c>
      <c r="D16" s="4" t="str">
        <f>'📋 Data Entry'!G17</f>
        <v>JSW</v>
      </c>
      <c r="E16" s="4">
        <f>IF('📋 Data Entry'!I17="Yes",5,0)</f>
        <v>5</v>
      </c>
      <c r="F16" s="4">
        <f>IF('📋 Data Entry'!K17="Yes",5,0)</f>
        <v>5</v>
      </c>
      <c r="G16" s="4">
        <f>'📋 Data Entry'!M17</f>
        <v>2</v>
      </c>
      <c r="H16" s="4">
        <f>'📋 Data Entry'!N17</f>
        <v>2</v>
      </c>
      <c r="I16" s="4">
        <f>'📋 Data Entry'!U17</f>
        <v>4</v>
      </c>
      <c r="J16" s="4">
        <f t="shared" si="0"/>
        <v>73</v>
      </c>
      <c r="K16" s="4" t="str">
        <f t="shared" si="1"/>
        <v>B</v>
      </c>
      <c r="L16" s="4" t="str">
        <f>'📋 Data Entry'!O17</f>
        <v>Price Info</v>
      </c>
      <c r="M16" s="4" t="str">
        <f>'📋 Data Entry'!P17</f>
        <v>Feature Claims</v>
      </c>
      <c r="N16" s="4" t="str">
        <f>'📋 Data Entry'!Q17</f>
        <v>Colour Swatch</v>
      </c>
    </row>
    <row r="17" spans="1:14" ht="19.5" customHeight="1" x14ac:dyDescent="0.35">
      <c r="A17" s="6">
        <v>14</v>
      </c>
      <c r="B17" s="6" t="str">
        <f>'📋 Data Entry'!B18</f>
        <v>Amit Iyer</v>
      </c>
      <c r="C17" s="6" t="str">
        <f>'📋 Data Entry'!D18</f>
        <v>Jaipur</v>
      </c>
      <c r="D17" s="6" t="str">
        <f>'📋 Data Entry'!G18</f>
        <v>DP</v>
      </c>
      <c r="E17" s="6">
        <f>IF('📋 Data Entry'!I18="Yes",5,0)</f>
        <v>5</v>
      </c>
      <c r="F17" s="6">
        <f>IF('📋 Data Entry'!K18="Yes",5,0)</f>
        <v>5</v>
      </c>
      <c r="G17" s="6">
        <f>'📋 Data Entry'!M18</f>
        <v>4</v>
      </c>
      <c r="H17" s="6">
        <f>'📋 Data Entry'!N18</f>
        <v>5</v>
      </c>
      <c r="I17" s="6">
        <f>'📋 Data Entry'!U18</f>
        <v>5</v>
      </c>
      <c r="J17" s="6">
        <f t="shared" si="0"/>
        <v>95</v>
      </c>
      <c r="K17" s="6" t="str">
        <f t="shared" si="1"/>
        <v>A</v>
      </c>
      <c r="L17" s="6" t="str">
        <f>'📋 Data Entry'!O18</f>
        <v>Product Name</v>
      </c>
      <c r="M17" s="6" t="str">
        <f>'📋 Data Entry'!P18</f>
        <v>Colour Swatch</v>
      </c>
      <c r="N17" s="6" t="str">
        <f>'📋 Data Entry'!Q18</f>
        <v>Feature Claims</v>
      </c>
    </row>
    <row r="18" spans="1:14" ht="19.5" customHeight="1" x14ac:dyDescent="0.35">
      <c r="A18" s="4">
        <v>15</v>
      </c>
      <c r="B18" s="4" t="str">
        <f>'📋 Data Entry'!B19</f>
        <v>Priya Pandey</v>
      </c>
      <c r="C18" s="4" t="str">
        <f>'📋 Data Entry'!D19</f>
        <v>Jaipur</v>
      </c>
      <c r="D18" s="4" t="str">
        <f>'📋 Data Entry'!G19</f>
        <v>DP</v>
      </c>
      <c r="E18" s="4">
        <f>IF('📋 Data Entry'!I19="Yes",5,0)</f>
        <v>5</v>
      </c>
      <c r="F18" s="4">
        <f>IF('📋 Data Entry'!K19="Yes",5,0)</f>
        <v>5</v>
      </c>
      <c r="G18" s="4">
        <f>'📋 Data Entry'!M19</f>
        <v>3</v>
      </c>
      <c r="H18" s="4">
        <f>'📋 Data Entry'!N19</f>
        <v>5</v>
      </c>
      <c r="I18" s="4">
        <f>'📋 Data Entry'!U19</f>
        <v>3</v>
      </c>
      <c r="J18" s="4">
        <f t="shared" si="0"/>
        <v>84</v>
      </c>
      <c r="K18" s="4" t="str">
        <f t="shared" si="1"/>
        <v>A</v>
      </c>
      <c r="L18" s="4" t="str">
        <f>'📋 Data Entry'!O19</f>
        <v>Feature Claims</v>
      </c>
      <c r="M18" s="4" t="str">
        <f>'📋 Data Entry'!P19</f>
        <v>Pack Size</v>
      </c>
      <c r="N18" s="4" t="str">
        <f>'📋 Data Entry'!Q19</f>
        <v>Usage Instructions</v>
      </c>
    </row>
    <row r="19" spans="1:14" ht="19.5" customHeight="1" x14ac:dyDescent="0.35">
      <c r="A19" s="6">
        <v>16</v>
      </c>
      <c r="B19" s="6" t="str">
        <f>'📋 Data Entry'!B20</f>
        <v>Sunil Chatterjee</v>
      </c>
      <c r="C19" s="6" t="str">
        <f>'📋 Data Entry'!D20</f>
        <v>Pune</v>
      </c>
      <c r="D19" s="6" t="str">
        <f>'📋 Data Entry'!G20</f>
        <v>JSW</v>
      </c>
      <c r="E19" s="6">
        <f>IF('📋 Data Entry'!I20="Yes",5,0)</f>
        <v>5</v>
      </c>
      <c r="F19" s="6">
        <f>IF('📋 Data Entry'!K20="Yes",5,0)</f>
        <v>5</v>
      </c>
      <c r="G19" s="6">
        <f>'📋 Data Entry'!M20</f>
        <v>2</v>
      </c>
      <c r="H19" s="6">
        <f>'📋 Data Entry'!N20</f>
        <v>4</v>
      </c>
      <c r="I19" s="6">
        <f>'📋 Data Entry'!U20</f>
        <v>4</v>
      </c>
      <c r="J19" s="6">
        <f t="shared" si="0"/>
        <v>79</v>
      </c>
      <c r="K19" s="6" t="str">
        <f t="shared" si="1"/>
        <v>B</v>
      </c>
      <c r="L19" s="6" t="str">
        <f>'📋 Data Entry'!O20</f>
        <v>Feature Claims</v>
      </c>
      <c r="M19" s="6" t="str">
        <f>'📋 Data Entry'!P20</f>
        <v>Colour Swatch</v>
      </c>
      <c r="N19" s="6" t="str">
        <f>'📋 Data Entry'!Q20</f>
        <v>Usage Instructions</v>
      </c>
    </row>
    <row r="20" spans="1:14" ht="19.5" customHeight="1" x14ac:dyDescent="0.35">
      <c r="A20" s="4">
        <v>17</v>
      </c>
      <c r="B20" s="4" t="str">
        <f>'📋 Data Entry'!B21</f>
        <v>Nandini Dubey</v>
      </c>
      <c r="C20" s="4" t="str">
        <f>'📋 Data Entry'!D21</f>
        <v>Nagpur</v>
      </c>
      <c r="D20" s="4" t="str">
        <f>'📋 Data Entry'!G21</f>
        <v>AP</v>
      </c>
      <c r="E20" s="4">
        <f>IF('📋 Data Entry'!I21="Yes",5,0)</f>
        <v>5</v>
      </c>
      <c r="F20" s="4">
        <f>IF('📋 Data Entry'!K21="Yes",5,0)</f>
        <v>5</v>
      </c>
      <c r="G20" s="4">
        <f>'📋 Data Entry'!M21</f>
        <v>5</v>
      </c>
      <c r="H20" s="4">
        <f>'📋 Data Entry'!N21</f>
        <v>5</v>
      </c>
      <c r="I20" s="4">
        <f>'📋 Data Entry'!U21</f>
        <v>4</v>
      </c>
      <c r="J20" s="4">
        <f t="shared" si="0"/>
        <v>97</v>
      </c>
      <c r="K20" s="4" t="str">
        <f t="shared" si="1"/>
        <v>A</v>
      </c>
      <c r="L20" s="4" t="str">
        <f>'📋 Data Entry'!O21</f>
        <v>Colour Swatch</v>
      </c>
      <c r="M20" s="4" t="str">
        <f>'📋 Data Entry'!P21</f>
        <v>Eco Certifications</v>
      </c>
      <c r="N20" s="4" t="str">
        <f>'📋 Data Entry'!Q21</f>
        <v>Finish Level Icon</v>
      </c>
    </row>
    <row r="21" spans="1:14" ht="19.5" customHeight="1" x14ac:dyDescent="0.35">
      <c r="A21" s="6">
        <v>18</v>
      </c>
      <c r="B21" s="6" t="str">
        <f>'📋 Data Entry'!B22</f>
        <v>Harish Pillai</v>
      </c>
      <c r="C21" s="6" t="str">
        <f>'📋 Data Entry'!D22</f>
        <v>Surat</v>
      </c>
      <c r="D21" s="6" t="str">
        <f>'📋 Data Entry'!G22</f>
        <v>BO</v>
      </c>
      <c r="E21" s="6">
        <f>IF('📋 Data Entry'!I22="Yes",5,0)</f>
        <v>0</v>
      </c>
      <c r="F21" s="6">
        <f>IF('📋 Data Entry'!K22="Yes",5,0)</f>
        <v>5</v>
      </c>
      <c r="G21" s="6">
        <f>'📋 Data Entry'!M22</f>
        <v>5</v>
      </c>
      <c r="H21" s="6">
        <f>'📋 Data Entry'!N22</f>
        <v>3</v>
      </c>
      <c r="I21" s="6">
        <f>'📋 Data Entry'!U22</f>
        <v>3</v>
      </c>
      <c r="J21" s="6">
        <f t="shared" si="0"/>
        <v>63.000000000000007</v>
      </c>
      <c r="K21" s="6" t="str">
        <f t="shared" si="1"/>
        <v>C</v>
      </c>
      <c r="L21" s="6" t="str">
        <f>'📋 Data Entry'!O22</f>
        <v>Price Info</v>
      </c>
      <c r="M21" s="6" t="str">
        <f>'📋 Data Entry'!P22</f>
        <v>Pack Size</v>
      </c>
      <c r="N21" s="6" t="str">
        <f>'📋 Data Entry'!Q22</f>
        <v>Eco Certifications</v>
      </c>
    </row>
    <row r="22" spans="1:14" ht="19.5" customHeight="1" x14ac:dyDescent="0.35">
      <c r="A22" s="4">
        <v>19</v>
      </c>
      <c r="B22" s="4" t="str">
        <f>'📋 Data Entry'!B23</f>
        <v>Vikram Patel</v>
      </c>
      <c r="C22" s="4" t="str">
        <f>'📋 Data Entry'!D23</f>
        <v>Ahmedabad</v>
      </c>
      <c r="D22" s="4" t="str">
        <f>'📋 Data Entry'!G23</f>
        <v>DP</v>
      </c>
      <c r="E22" s="4">
        <f>IF('📋 Data Entry'!I23="Yes",5,0)</f>
        <v>5</v>
      </c>
      <c r="F22" s="4">
        <f>IF('📋 Data Entry'!K23="Yes",5,0)</f>
        <v>0</v>
      </c>
      <c r="G22" s="4">
        <f>'📋 Data Entry'!M23</f>
        <v>4</v>
      </c>
      <c r="H22" s="4">
        <f>'📋 Data Entry'!N23</f>
        <v>4</v>
      </c>
      <c r="I22" s="4">
        <f>'📋 Data Entry'!U23</f>
        <v>4</v>
      </c>
      <c r="J22" s="4">
        <f t="shared" si="0"/>
        <v>69</v>
      </c>
      <c r="K22" s="4" t="str">
        <f t="shared" si="1"/>
        <v>B</v>
      </c>
      <c r="L22" s="4" t="str">
        <f>'📋 Data Entry'!O23</f>
        <v>Warranty Badge</v>
      </c>
      <c r="M22" s="4" t="str">
        <f>'📋 Data Entry'!P23</f>
        <v>Feature Claims</v>
      </c>
      <c r="N22" s="4" t="str">
        <f>'📋 Data Entry'!Q23</f>
        <v>Colour Swatch</v>
      </c>
    </row>
    <row r="23" spans="1:14" ht="19.5" customHeight="1" x14ac:dyDescent="0.35">
      <c r="A23" s="6">
        <v>20</v>
      </c>
      <c r="B23" s="6" t="str">
        <f>'📋 Data Entry'!B24</f>
        <v>Dinesh Desai</v>
      </c>
      <c r="C23" s="6" t="str">
        <f>'📋 Data Entry'!D24</f>
        <v>Surat</v>
      </c>
      <c r="D23" s="6" t="str">
        <f>'📋 Data Entry'!G24</f>
        <v>AP</v>
      </c>
      <c r="E23" s="6">
        <f>IF('📋 Data Entry'!I24="Yes",5,0)</f>
        <v>5</v>
      </c>
      <c r="F23" s="6">
        <f>IF('📋 Data Entry'!K24="Yes",5,0)</f>
        <v>5</v>
      </c>
      <c r="G23" s="6">
        <f>'📋 Data Entry'!M24</f>
        <v>4</v>
      </c>
      <c r="H23" s="6">
        <f>'📋 Data Entry'!N24</f>
        <v>4</v>
      </c>
      <c r="I23" s="6">
        <f>'📋 Data Entry'!U24</f>
        <v>4</v>
      </c>
      <c r="J23" s="6">
        <f t="shared" si="0"/>
        <v>89</v>
      </c>
      <c r="K23" s="6" t="str">
        <f t="shared" si="1"/>
        <v>A</v>
      </c>
      <c r="L23" s="6" t="str">
        <f>'📋 Data Entry'!O24</f>
        <v>Warranty Badge</v>
      </c>
      <c r="M23" s="6" t="str">
        <f>'📋 Data Entry'!P24</f>
        <v>Finish Level Icon</v>
      </c>
      <c r="N23" s="6" t="str">
        <f>'📋 Data Entry'!Q24</f>
        <v>Brand Name</v>
      </c>
    </row>
    <row r="24" spans="1:14" ht="19.5" customHeight="1" x14ac:dyDescent="0.35">
      <c r="A24" s="4">
        <v>21</v>
      </c>
      <c r="B24" s="4" t="str">
        <f>'📋 Data Entry'!B25</f>
        <v>Sunil Kumar</v>
      </c>
      <c r="C24" s="4" t="str">
        <f>'📋 Data Entry'!D25</f>
        <v>Ahmedabad</v>
      </c>
      <c r="D24" s="4" t="str">
        <f>'📋 Data Entry'!G25</f>
        <v>DP</v>
      </c>
      <c r="E24" s="4">
        <f>IF('📋 Data Entry'!I25="Yes",5,0)</f>
        <v>5</v>
      </c>
      <c r="F24" s="4">
        <f>IF('📋 Data Entry'!K25="Yes",5,0)</f>
        <v>0</v>
      </c>
      <c r="G24" s="4">
        <f>'📋 Data Entry'!M25</f>
        <v>4</v>
      </c>
      <c r="H24" s="4">
        <f>'📋 Data Entry'!N25</f>
        <v>5</v>
      </c>
      <c r="I24" s="4">
        <f>'📋 Data Entry'!U25</f>
        <v>3</v>
      </c>
      <c r="J24" s="4">
        <f t="shared" si="0"/>
        <v>69</v>
      </c>
      <c r="K24" s="4" t="str">
        <f t="shared" si="1"/>
        <v>B</v>
      </c>
      <c r="L24" s="4" t="str">
        <f>'📋 Data Entry'!O25</f>
        <v>Pack Size</v>
      </c>
      <c r="M24" s="4" t="str">
        <f>'📋 Data Entry'!P25</f>
        <v>Price Info</v>
      </c>
      <c r="N24" s="4" t="str">
        <f>'📋 Data Entry'!Q25</f>
        <v>Brand Name</v>
      </c>
    </row>
    <row r="25" spans="1:14" ht="19.5" customHeight="1" x14ac:dyDescent="0.35">
      <c r="A25" s="6">
        <v>22</v>
      </c>
      <c r="B25" s="6" t="str">
        <f>'📋 Data Entry'!B26</f>
        <v>Dinesh Singh</v>
      </c>
      <c r="C25" s="6" t="str">
        <f>'📋 Data Entry'!D26</f>
        <v>Chennai</v>
      </c>
      <c r="D25" s="6" t="str">
        <f>'📋 Data Entry'!G26</f>
        <v>JSW</v>
      </c>
      <c r="E25" s="6">
        <f>IF('📋 Data Entry'!I26="Yes",5,0)</f>
        <v>0</v>
      </c>
      <c r="F25" s="6">
        <f>IF('📋 Data Entry'!K26="Yes",5,0)</f>
        <v>5</v>
      </c>
      <c r="G25" s="6">
        <f>'📋 Data Entry'!M26</f>
        <v>3</v>
      </c>
      <c r="H25" s="6">
        <f>'📋 Data Entry'!N26</f>
        <v>4</v>
      </c>
      <c r="I25" s="6">
        <f>'📋 Data Entry'!U26</f>
        <v>3</v>
      </c>
      <c r="J25" s="6">
        <f t="shared" si="0"/>
        <v>56</v>
      </c>
      <c r="K25" s="6" t="str">
        <f t="shared" si="1"/>
        <v>C</v>
      </c>
      <c r="L25" s="6" t="str">
        <f>'📋 Data Entry'!O26</f>
        <v>Price Info</v>
      </c>
      <c r="M25" s="6" t="str">
        <f>'📋 Data Entry'!P26</f>
        <v>Eco Certifications</v>
      </c>
      <c r="N25" s="6" t="str">
        <f>'📋 Data Entry'!Q26</f>
        <v>Product Name</v>
      </c>
    </row>
    <row r="26" spans="1:14" ht="19.5" customHeight="1" x14ac:dyDescent="0.35">
      <c r="A26" s="4">
        <v>23</v>
      </c>
      <c r="B26" s="4" t="str">
        <f>'📋 Data Entry'!B27</f>
        <v>Tarun Joshi</v>
      </c>
      <c r="C26" s="4" t="str">
        <f>'📋 Data Entry'!D27</f>
        <v>Hyderabad</v>
      </c>
      <c r="D26" s="4" t="str">
        <f>'📋 Data Entry'!G27</f>
        <v>AP</v>
      </c>
      <c r="E26" s="4">
        <f>IF('📋 Data Entry'!I27="Yes",5,0)</f>
        <v>5</v>
      </c>
      <c r="F26" s="4">
        <f>IF('📋 Data Entry'!K27="Yes",5,0)</f>
        <v>5</v>
      </c>
      <c r="G26" s="4">
        <f>'📋 Data Entry'!M27</f>
        <v>5</v>
      </c>
      <c r="H26" s="4">
        <f>'📋 Data Entry'!N27</f>
        <v>5</v>
      </c>
      <c r="I26" s="4">
        <f>'📋 Data Entry'!U27</f>
        <v>5</v>
      </c>
      <c r="J26" s="4">
        <f t="shared" si="0"/>
        <v>100</v>
      </c>
      <c r="K26" s="4" t="str">
        <f t="shared" si="1"/>
        <v>A</v>
      </c>
      <c r="L26" s="4" t="str">
        <f>'📋 Data Entry'!O27</f>
        <v>Warranty Badge</v>
      </c>
      <c r="M26" s="4" t="str">
        <f>'📋 Data Entry'!P27</f>
        <v>Price Info</v>
      </c>
      <c r="N26" s="4" t="str">
        <f>'📋 Data Entry'!Q27</f>
        <v>Eco Certifications</v>
      </c>
    </row>
    <row r="27" spans="1:14" ht="19.5" customHeight="1" x14ac:dyDescent="0.35">
      <c r="A27" s="6">
        <v>24</v>
      </c>
      <c r="B27" s="6" t="str">
        <f>'📋 Data Entry'!B28</f>
        <v>Prakash Chatterjee</v>
      </c>
      <c r="C27" s="6" t="str">
        <f>'📋 Data Entry'!D28</f>
        <v>Delhi</v>
      </c>
      <c r="D27" s="6" t="str">
        <f>'📋 Data Entry'!G28</f>
        <v>JSW</v>
      </c>
      <c r="E27" s="6">
        <f>IF('📋 Data Entry'!I28="Yes",5,0)</f>
        <v>5</v>
      </c>
      <c r="F27" s="6">
        <f>IF('📋 Data Entry'!K28="Yes",5,0)</f>
        <v>0</v>
      </c>
      <c r="G27" s="6">
        <f>'📋 Data Entry'!M28</f>
        <v>3</v>
      </c>
      <c r="H27" s="6">
        <f>'📋 Data Entry'!N28</f>
        <v>4</v>
      </c>
      <c r="I27" s="6">
        <f>'📋 Data Entry'!U28</f>
        <v>2</v>
      </c>
      <c r="J27" s="6">
        <f t="shared" si="0"/>
        <v>58</v>
      </c>
      <c r="K27" s="6" t="str">
        <f t="shared" si="1"/>
        <v>C</v>
      </c>
      <c r="L27" s="6" t="str">
        <f>'📋 Data Entry'!O28</f>
        <v>Eco Certifications</v>
      </c>
      <c r="M27" s="6" t="str">
        <f>'📋 Data Entry'!P28</f>
        <v>Price Info</v>
      </c>
      <c r="N27" s="6" t="str">
        <f>'📋 Data Entry'!Q28</f>
        <v>Finish Level Icon</v>
      </c>
    </row>
    <row r="28" spans="1:14" ht="19.5" customHeight="1" x14ac:dyDescent="0.35">
      <c r="A28" s="4">
        <v>25</v>
      </c>
      <c r="B28" s="4" t="str">
        <f>'📋 Data Entry'!B29</f>
        <v>Nandini Gupta</v>
      </c>
      <c r="C28" s="4" t="str">
        <f>'📋 Data Entry'!D29</f>
        <v>Jaipur</v>
      </c>
      <c r="D28" s="4" t="str">
        <f>'📋 Data Entry'!G29</f>
        <v>AP</v>
      </c>
      <c r="E28" s="4">
        <f>IF('📋 Data Entry'!I29="Yes",5,0)</f>
        <v>5</v>
      </c>
      <c r="F28" s="4">
        <f>IF('📋 Data Entry'!K29="Yes",5,0)</f>
        <v>5</v>
      </c>
      <c r="G28" s="4">
        <f>'📋 Data Entry'!M29</f>
        <v>5</v>
      </c>
      <c r="H28" s="4">
        <f>'📋 Data Entry'!N29</f>
        <v>5</v>
      </c>
      <c r="I28" s="4">
        <f>'📋 Data Entry'!U29</f>
        <v>3</v>
      </c>
      <c r="J28" s="4">
        <f t="shared" si="0"/>
        <v>94</v>
      </c>
      <c r="K28" s="4" t="str">
        <f t="shared" si="1"/>
        <v>A</v>
      </c>
      <c r="L28" s="4" t="str">
        <f>'📋 Data Entry'!O29</f>
        <v>Feature Claims</v>
      </c>
      <c r="M28" s="4" t="str">
        <f>'📋 Data Entry'!P29</f>
        <v>Eco Certifications</v>
      </c>
      <c r="N28" s="4" t="str">
        <f>'📋 Data Entry'!Q29</f>
        <v>Brand Name</v>
      </c>
    </row>
    <row r="29" spans="1:14" ht="19.5" customHeight="1" x14ac:dyDescent="0.35">
      <c r="A29" s="6">
        <v>26</v>
      </c>
      <c r="B29" s="6" t="str">
        <f>'📋 Data Entry'!B30</f>
        <v>Nandini Yadav</v>
      </c>
      <c r="C29" s="6" t="str">
        <f>'📋 Data Entry'!D30</f>
        <v>Kolkata</v>
      </c>
      <c r="D29" s="6" t="str">
        <f>'📋 Data Entry'!G30</f>
        <v>BO</v>
      </c>
      <c r="E29" s="6">
        <f>IF('📋 Data Entry'!I30="Yes",5,0)</f>
        <v>5</v>
      </c>
      <c r="F29" s="6">
        <f>IF('📋 Data Entry'!K30="Yes",5,0)</f>
        <v>5</v>
      </c>
      <c r="G29" s="6">
        <f>'📋 Data Entry'!M30</f>
        <v>4</v>
      </c>
      <c r="H29" s="6">
        <f>'📋 Data Entry'!N30</f>
        <v>4</v>
      </c>
      <c r="I29" s="6">
        <f>'📋 Data Entry'!U30</f>
        <v>5</v>
      </c>
      <c r="J29" s="6">
        <f t="shared" si="0"/>
        <v>92</v>
      </c>
      <c r="K29" s="6" t="str">
        <f t="shared" si="1"/>
        <v>A</v>
      </c>
      <c r="L29" s="6" t="str">
        <f>'📋 Data Entry'!O30</f>
        <v>Warranty Badge</v>
      </c>
      <c r="M29" s="6" t="str">
        <f>'📋 Data Entry'!P30</f>
        <v>Pack Size</v>
      </c>
      <c r="N29" s="6" t="str">
        <f>'📋 Data Entry'!Q30</f>
        <v>Usage Instructions</v>
      </c>
    </row>
    <row r="30" spans="1:14" ht="19.5" customHeight="1" x14ac:dyDescent="0.35">
      <c r="A30" s="4">
        <v>27</v>
      </c>
      <c r="B30" s="4" t="str">
        <f>'📋 Data Entry'!B31</f>
        <v>Pooja Das</v>
      </c>
      <c r="C30" s="4" t="str">
        <f>'📋 Data Entry'!D31</f>
        <v>Bengaluru</v>
      </c>
      <c r="D30" s="4" t="str">
        <f>'📋 Data Entry'!G31</f>
        <v>JSW</v>
      </c>
      <c r="E30" s="4">
        <f>IF('📋 Data Entry'!I31="Yes",5,0)</f>
        <v>5</v>
      </c>
      <c r="F30" s="4">
        <f>IF('📋 Data Entry'!K31="Yes",5,0)</f>
        <v>5</v>
      </c>
      <c r="G30" s="4">
        <f>'📋 Data Entry'!M31</f>
        <v>4</v>
      </c>
      <c r="H30" s="4">
        <f>'📋 Data Entry'!N31</f>
        <v>3</v>
      </c>
      <c r="I30" s="4">
        <f>'📋 Data Entry'!U31</f>
        <v>2</v>
      </c>
      <c r="J30" s="4">
        <f t="shared" si="0"/>
        <v>80</v>
      </c>
      <c r="K30" s="4" t="str">
        <f t="shared" si="1"/>
        <v>A</v>
      </c>
      <c r="L30" s="4" t="str">
        <f>'📋 Data Entry'!O31</f>
        <v>Warranty Badge</v>
      </c>
      <c r="M30" s="4" t="str">
        <f>'📋 Data Entry'!P31</f>
        <v>Finish Level Icon</v>
      </c>
      <c r="N30" s="4" t="str">
        <f>'📋 Data Entry'!Q31</f>
        <v>Colour Swatch</v>
      </c>
    </row>
    <row r="31" spans="1:14" ht="19.5" customHeight="1" x14ac:dyDescent="0.35">
      <c r="A31" s="6">
        <v>28</v>
      </c>
      <c r="B31" s="6" t="str">
        <f>'📋 Data Entry'!B32</f>
        <v>Meera Pillai</v>
      </c>
      <c r="C31" s="6" t="str">
        <f>'📋 Data Entry'!D32</f>
        <v>Mumbai</v>
      </c>
      <c r="D31" s="6" t="str">
        <f>'📋 Data Entry'!G32</f>
        <v>AP</v>
      </c>
      <c r="E31" s="6">
        <f>IF('📋 Data Entry'!I32="Yes",5,0)</f>
        <v>5</v>
      </c>
      <c r="F31" s="6">
        <f>IF('📋 Data Entry'!K32="Yes",5,0)</f>
        <v>5</v>
      </c>
      <c r="G31" s="6">
        <f>'📋 Data Entry'!M32</f>
        <v>3</v>
      </c>
      <c r="H31" s="6">
        <f>'📋 Data Entry'!N32</f>
        <v>5</v>
      </c>
      <c r="I31" s="6">
        <f>'📋 Data Entry'!U32</f>
        <v>5</v>
      </c>
      <c r="J31" s="6">
        <f t="shared" si="0"/>
        <v>90</v>
      </c>
      <c r="K31" s="6" t="str">
        <f t="shared" si="1"/>
        <v>A</v>
      </c>
      <c r="L31" s="6" t="str">
        <f>'📋 Data Entry'!O32</f>
        <v>Eco Certifications</v>
      </c>
      <c r="M31" s="6" t="str">
        <f>'📋 Data Entry'!P32</f>
        <v>Usage Instructions</v>
      </c>
      <c r="N31" s="6" t="str">
        <f>'📋 Data Entry'!Q32</f>
        <v>Finish Level Icon</v>
      </c>
    </row>
    <row r="32" spans="1:14" ht="19.5" customHeight="1" x14ac:dyDescent="0.35">
      <c r="A32" s="4">
        <v>29</v>
      </c>
      <c r="B32" s="4" t="str">
        <f>'📋 Data Entry'!B33</f>
        <v>Vikram Bose</v>
      </c>
      <c r="C32" s="4" t="str">
        <f>'📋 Data Entry'!D33</f>
        <v>Bengaluru</v>
      </c>
      <c r="D32" s="4" t="str">
        <f>'📋 Data Entry'!G33</f>
        <v>AP</v>
      </c>
      <c r="E32" s="4">
        <f>IF('📋 Data Entry'!I33="Yes",5,0)</f>
        <v>5</v>
      </c>
      <c r="F32" s="4">
        <f>IF('📋 Data Entry'!K33="Yes",5,0)</f>
        <v>5</v>
      </c>
      <c r="G32" s="4">
        <f>'📋 Data Entry'!M33</f>
        <v>3</v>
      </c>
      <c r="H32" s="4">
        <f>'📋 Data Entry'!N33</f>
        <v>5</v>
      </c>
      <c r="I32" s="4">
        <f>'📋 Data Entry'!U33</f>
        <v>3</v>
      </c>
      <c r="J32" s="4">
        <f t="shared" si="0"/>
        <v>84</v>
      </c>
      <c r="K32" s="4" t="str">
        <f t="shared" si="1"/>
        <v>A</v>
      </c>
      <c r="L32" s="4" t="str">
        <f>'📋 Data Entry'!O33</f>
        <v>Pack Size</v>
      </c>
      <c r="M32" s="4" t="str">
        <f>'📋 Data Entry'!P33</f>
        <v>Usage Instructions</v>
      </c>
      <c r="N32" s="4" t="str">
        <f>'📋 Data Entry'!Q33</f>
        <v>Brand Name</v>
      </c>
    </row>
    <row r="33" spans="1:14" ht="19.5" customHeight="1" x14ac:dyDescent="0.35">
      <c r="A33" s="6">
        <v>30</v>
      </c>
      <c r="B33" s="6" t="str">
        <f>'📋 Data Entry'!B34</f>
        <v>Kiran Pandey</v>
      </c>
      <c r="C33" s="6" t="str">
        <f>'📋 Data Entry'!D34</f>
        <v>Delhi</v>
      </c>
      <c r="D33" s="6" t="str">
        <f>'📋 Data Entry'!G34</f>
        <v>DP</v>
      </c>
      <c r="E33" s="6">
        <f>IF('📋 Data Entry'!I34="Yes",5,0)</f>
        <v>5</v>
      </c>
      <c r="F33" s="6">
        <f>IF('📋 Data Entry'!K34="Yes",5,0)</f>
        <v>5</v>
      </c>
      <c r="G33" s="6">
        <f>'📋 Data Entry'!M34</f>
        <v>4</v>
      </c>
      <c r="H33" s="6">
        <f>'📋 Data Entry'!N34</f>
        <v>4</v>
      </c>
      <c r="I33" s="6">
        <f>'📋 Data Entry'!U34</f>
        <v>3</v>
      </c>
      <c r="J33" s="6">
        <f t="shared" si="0"/>
        <v>86</v>
      </c>
      <c r="K33" s="6" t="str">
        <f t="shared" si="1"/>
        <v>A</v>
      </c>
      <c r="L33" s="6" t="str">
        <f>'📋 Data Entry'!O34</f>
        <v>Finish Level Icon</v>
      </c>
      <c r="M33" s="6" t="str">
        <f>'📋 Data Entry'!P34</f>
        <v>Pack Size</v>
      </c>
      <c r="N33" s="6" t="str">
        <f>'📋 Data Entry'!Q34</f>
        <v>Eco Certifications</v>
      </c>
    </row>
    <row r="34" spans="1:14" ht="19.5" customHeight="1" x14ac:dyDescent="0.35">
      <c r="A34" s="4">
        <v>31</v>
      </c>
      <c r="B34" s="4" t="str">
        <f>'📋 Data Entry'!B35</f>
        <v>Rajesh Gupta</v>
      </c>
      <c r="C34" s="4" t="str">
        <f>'📋 Data Entry'!D35</f>
        <v>Lucknow</v>
      </c>
      <c r="D34" s="4" t="str">
        <f>'📋 Data Entry'!G35</f>
        <v>JSW</v>
      </c>
      <c r="E34" s="4">
        <f>IF('📋 Data Entry'!I35="Yes",5,0)</f>
        <v>5</v>
      </c>
      <c r="F34" s="4">
        <f>IF('📋 Data Entry'!K35="Yes",5,0)</f>
        <v>0</v>
      </c>
      <c r="G34" s="4">
        <f>'📋 Data Entry'!M35</f>
        <v>3</v>
      </c>
      <c r="H34" s="4">
        <f>'📋 Data Entry'!N35</f>
        <v>4</v>
      </c>
      <c r="I34" s="4">
        <f>'📋 Data Entry'!U35</f>
        <v>2</v>
      </c>
      <c r="J34" s="4">
        <f t="shared" si="0"/>
        <v>58</v>
      </c>
      <c r="K34" s="4" t="str">
        <f t="shared" si="1"/>
        <v>C</v>
      </c>
      <c r="L34" s="4" t="str">
        <f>'📋 Data Entry'!O35</f>
        <v>Warranty Badge</v>
      </c>
      <c r="M34" s="4" t="str">
        <f>'📋 Data Entry'!P35</f>
        <v>Feature Claims</v>
      </c>
      <c r="N34" s="4" t="str">
        <f>'📋 Data Entry'!Q35</f>
        <v>Usage Instructions</v>
      </c>
    </row>
    <row r="35" spans="1:14" ht="19.5" customHeight="1" x14ac:dyDescent="0.35">
      <c r="A35" s="6">
        <v>32</v>
      </c>
      <c r="B35" s="6" t="str">
        <f>'📋 Data Entry'!B36</f>
        <v>Prakash Iyer</v>
      </c>
      <c r="C35" s="6" t="str">
        <f>'📋 Data Entry'!D36</f>
        <v>Delhi</v>
      </c>
      <c r="D35" s="6" t="str">
        <f>'📋 Data Entry'!G36</f>
        <v>DP</v>
      </c>
      <c r="E35" s="6">
        <f>IF('📋 Data Entry'!I36="Yes",5,0)</f>
        <v>5</v>
      </c>
      <c r="F35" s="6">
        <f>IF('📋 Data Entry'!K36="Yes",5,0)</f>
        <v>5</v>
      </c>
      <c r="G35" s="6">
        <f>'📋 Data Entry'!M36</f>
        <v>3</v>
      </c>
      <c r="H35" s="6">
        <f>'📋 Data Entry'!N36</f>
        <v>4</v>
      </c>
      <c r="I35" s="6">
        <f>'📋 Data Entry'!U36</f>
        <v>4</v>
      </c>
      <c r="J35" s="6">
        <f t="shared" si="0"/>
        <v>84</v>
      </c>
      <c r="K35" s="6" t="str">
        <f t="shared" si="1"/>
        <v>A</v>
      </c>
      <c r="L35" s="6" t="str">
        <f>'📋 Data Entry'!O36</f>
        <v>Colour Swatch</v>
      </c>
      <c r="M35" s="6" t="str">
        <f>'📋 Data Entry'!P36</f>
        <v>Warranty Badge</v>
      </c>
      <c r="N35" s="6" t="str">
        <f>'📋 Data Entry'!Q36</f>
        <v>Product Name</v>
      </c>
    </row>
    <row r="36" spans="1:14" ht="19.5" customHeight="1" x14ac:dyDescent="0.35">
      <c r="A36" s="4">
        <v>33</v>
      </c>
      <c r="B36" s="4" t="str">
        <f>'📋 Data Entry'!B37</f>
        <v>Meera Chatterjee</v>
      </c>
      <c r="C36" s="4" t="str">
        <f>'📋 Data Entry'!D37</f>
        <v>Lucknow</v>
      </c>
      <c r="D36" s="4" t="str">
        <f>'📋 Data Entry'!G37</f>
        <v>JSW</v>
      </c>
      <c r="E36" s="4">
        <f>IF('📋 Data Entry'!I37="Yes",5,0)</f>
        <v>5</v>
      </c>
      <c r="F36" s="4">
        <f>IF('📋 Data Entry'!K37="Yes",5,0)</f>
        <v>0</v>
      </c>
      <c r="G36" s="4">
        <f>'📋 Data Entry'!M37</f>
        <v>4</v>
      </c>
      <c r="H36" s="4">
        <f>'📋 Data Entry'!N37</f>
        <v>2</v>
      </c>
      <c r="I36" s="4">
        <f>'📋 Data Entry'!U37</f>
        <v>3</v>
      </c>
      <c r="J36" s="4">
        <f t="shared" si="0"/>
        <v>60</v>
      </c>
      <c r="K36" s="4" t="str">
        <f t="shared" si="1"/>
        <v>C</v>
      </c>
      <c r="L36" s="4" t="str">
        <f>'📋 Data Entry'!O37</f>
        <v>Finish Level Icon</v>
      </c>
      <c r="M36" s="4" t="str">
        <f>'📋 Data Entry'!P37</f>
        <v>Eco Certifications</v>
      </c>
      <c r="N36" s="4" t="str">
        <f>'📋 Data Entry'!Q37</f>
        <v>Usage Instructions</v>
      </c>
    </row>
    <row r="37" spans="1:14" ht="19.5" customHeight="1" x14ac:dyDescent="0.35">
      <c r="A37" s="6">
        <v>34</v>
      </c>
      <c r="B37" s="6" t="str">
        <f>'📋 Data Entry'!B38</f>
        <v>Dinesh Das</v>
      </c>
      <c r="C37" s="6" t="str">
        <f>'📋 Data Entry'!D38</f>
        <v>Ahmedabad</v>
      </c>
      <c r="D37" s="6" t="str">
        <f>'📋 Data Entry'!G38</f>
        <v>JSW</v>
      </c>
      <c r="E37" s="6">
        <f>IF('📋 Data Entry'!I38="Yes",5,0)</f>
        <v>5</v>
      </c>
      <c r="F37" s="6">
        <f>IF('📋 Data Entry'!K38="Yes",5,0)</f>
        <v>0</v>
      </c>
      <c r="G37" s="6">
        <f>'📋 Data Entry'!M38</f>
        <v>2</v>
      </c>
      <c r="H37" s="6">
        <f>'📋 Data Entry'!N38</f>
        <v>3</v>
      </c>
      <c r="I37" s="6">
        <f>'📋 Data Entry'!U38</f>
        <v>4</v>
      </c>
      <c r="J37" s="6">
        <f t="shared" si="0"/>
        <v>56.000000000000007</v>
      </c>
      <c r="K37" s="6" t="str">
        <f t="shared" si="1"/>
        <v>C</v>
      </c>
      <c r="L37" s="6" t="str">
        <f>'📋 Data Entry'!O38</f>
        <v>Eco Certifications</v>
      </c>
      <c r="M37" s="6" t="str">
        <f>'📋 Data Entry'!P38</f>
        <v>Usage Instructions</v>
      </c>
      <c r="N37" s="6" t="str">
        <f>'📋 Data Entry'!Q38</f>
        <v>Brand Name</v>
      </c>
    </row>
    <row r="38" spans="1:14" ht="19.5" customHeight="1" x14ac:dyDescent="0.35">
      <c r="A38" s="4">
        <v>35</v>
      </c>
      <c r="B38" s="4" t="str">
        <f>'📋 Data Entry'!B39</f>
        <v>Ganesh Desai</v>
      </c>
      <c r="C38" s="4" t="str">
        <f>'📋 Data Entry'!D39</f>
        <v>Surat</v>
      </c>
      <c r="D38" s="4" t="str">
        <f>'📋 Data Entry'!G39</f>
        <v>JSW</v>
      </c>
      <c r="E38" s="4">
        <f>IF('📋 Data Entry'!I39="Yes",5,0)</f>
        <v>0</v>
      </c>
      <c r="F38" s="4">
        <f>IF('📋 Data Entry'!K39="Yes",5,0)</f>
        <v>5</v>
      </c>
      <c r="G38" s="4">
        <f>'📋 Data Entry'!M39</f>
        <v>4</v>
      </c>
      <c r="H38" s="4">
        <f>'📋 Data Entry'!N39</f>
        <v>4</v>
      </c>
      <c r="I38" s="4">
        <f>'📋 Data Entry'!U39</f>
        <v>2</v>
      </c>
      <c r="J38" s="4">
        <f t="shared" si="0"/>
        <v>58</v>
      </c>
      <c r="K38" s="4" t="str">
        <f t="shared" si="1"/>
        <v>C</v>
      </c>
      <c r="L38" s="4" t="str">
        <f>'📋 Data Entry'!O39</f>
        <v>Brand Name</v>
      </c>
      <c r="M38" s="4" t="str">
        <f>'📋 Data Entry'!P39</f>
        <v>Product Name</v>
      </c>
      <c r="N38" s="4" t="str">
        <f>'📋 Data Entry'!Q39</f>
        <v>Eco Certifications</v>
      </c>
    </row>
    <row r="39" spans="1:14" ht="19.5" customHeight="1" x14ac:dyDescent="0.35">
      <c r="A39" s="6">
        <v>36</v>
      </c>
      <c r="B39" s="6" t="str">
        <f>'📋 Data Entry'!B40</f>
        <v>Manoj Nair</v>
      </c>
      <c r="C39" s="6" t="str">
        <f>'📋 Data Entry'!D40</f>
        <v>Bengaluru</v>
      </c>
      <c r="D39" s="6" t="str">
        <f>'📋 Data Entry'!G40</f>
        <v>JSW</v>
      </c>
      <c r="E39" s="6">
        <f>IF('📋 Data Entry'!I40="Yes",5,0)</f>
        <v>5</v>
      </c>
      <c r="F39" s="6">
        <f>IF('📋 Data Entry'!K40="Yes",5,0)</f>
        <v>5</v>
      </c>
      <c r="G39" s="6">
        <f>'📋 Data Entry'!M40</f>
        <v>3</v>
      </c>
      <c r="H39" s="6">
        <f>'📋 Data Entry'!N40</f>
        <v>3</v>
      </c>
      <c r="I39" s="6">
        <f>'📋 Data Entry'!U40</f>
        <v>3</v>
      </c>
      <c r="J39" s="6">
        <f t="shared" si="0"/>
        <v>78</v>
      </c>
      <c r="K39" s="6" t="str">
        <f t="shared" si="1"/>
        <v>B</v>
      </c>
      <c r="L39" s="6" t="str">
        <f>'📋 Data Entry'!O40</f>
        <v>Feature Claims</v>
      </c>
      <c r="M39" s="6" t="str">
        <f>'📋 Data Entry'!P40</f>
        <v>Product Name</v>
      </c>
      <c r="N39" s="6" t="str">
        <f>'📋 Data Entry'!Q40</f>
        <v>Usage Instructions</v>
      </c>
    </row>
    <row r="40" spans="1:14" ht="19.5" customHeight="1" x14ac:dyDescent="0.35">
      <c r="A40" s="4">
        <v>37</v>
      </c>
      <c r="B40" s="4" t="str">
        <f>'📋 Data Entry'!B41</f>
        <v>Suresh Malhotra</v>
      </c>
      <c r="C40" s="4" t="str">
        <f>'📋 Data Entry'!D41</f>
        <v>Ahmedabad</v>
      </c>
      <c r="D40" s="4" t="str">
        <f>'📋 Data Entry'!G41</f>
        <v>AP</v>
      </c>
      <c r="E40" s="4">
        <f>IF('📋 Data Entry'!I41="Yes",5,0)</f>
        <v>5</v>
      </c>
      <c r="F40" s="4">
        <f>IF('📋 Data Entry'!K41="Yes",5,0)</f>
        <v>5</v>
      </c>
      <c r="G40" s="4">
        <f>'📋 Data Entry'!M41</f>
        <v>3</v>
      </c>
      <c r="H40" s="4">
        <f>'📋 Data Entry'!N41</f>
        <v>3</v>
      </c>
      <c r="I40" s="4">
        <f>'📋 Data Entry'!U41</f>
        <v>5</v>
      </c>
      <c r="J40" s="4">
        <f t="shared" si="0"/>
        <v>84</v>
      </c>
      <c r="K40" s="4" t="str">
        <f t="shared" si="1"/>
        <v>A</v>
      </c>
      <c r="L40" s="4" t="str">
        <f>'📋 Data Entry'!O41</f>
        <v>Finish Level Icon</v>
      </c>
      <c r="M40" s="4" t="str">
        <f>'📋 Data Entry'!P41</f>
        <v>Colour Swatch</v>
      </c>
      <c r="N40" s="4" t="str">
        <f>'📋 Data Entry'!Q41</f>
        <v>Warranty Badge</v>
      </c>
    </row>
    <row r="41" spans="1:14" ht="19.5" customHeight="1" x14ac:dyDescent="0.35">
      <c r="A41" s="6">
        <v>38</v>
      </c>
      <c r="B41" s="6" t="str">
        <f>'📋 Data Entry'!B42</f>
        <v>Ganesh Iyer</v>
      </c>
      <c r="C41" s="6" t="str">
        <f>'📋 Data Entry'!D42</f>
        <v>Ahmedabad</v>
      </c>
      <c r="D41" s="6" t="str">
        <f>'📋 Data Entry'!G42</f>
        <v>BO</v>
      </c>
      <c r="E41" s="6">
        <f>IF('📋 Data Entry'!I42="Yes",5,0)</f>
        <v>5</v>
      </c>
      <c r="F41" s="6">
        <f>IF('📋 Data Entry'!K42="Yes",5,0)</f>
        <v>5</v>
      </c>
      <c r="G41" s="6">
        <f>'📋 Data Entry'!M42</f>
        <v>5</v>
      </c>
      <c r="H41" s="6">
        <f>'📋 Data Entry'!N42</f>
        <v>5</v>
      </c>
      <c r="I41" s="6">
        <f>'📋 Data Entry'!U42</f>
        <v>4</v>
      </c>
      <c r="J41" s="6">
        <f t="shared" si="0"/>
        <v>97</v>
      </c>
      <c r="K41" s="6" t="str">
        <f t="shared" si="1"/>
        <v>A</v>
      </c>
      <c r="L41" s="6" t="str">
        <f>'📋 Data Entry'!O42</f>
        <v>Product Name</v>
      </c>
      <c r="M41" s="6" t="str">
        <f>'📋 Data Entry'!P42</f>
        <v>Colour Swatch</v>
      </c>
      <c r="N41" s="6" t="str">
        <f>'📋 Data Entry'!Q42</f>
        <v>Feature Claims</v>
      </c>
    </row>
    <row r="42" spans="1:14" ht="19.5" customHeight="1" x14ac:dyDescent="0.35">
      <c r="A42" s="4">
        <v>39</v>
      </c>
      <c r="B42" s="4" t="str">
        <f>'📋 Data Entry'!B43</f>
        <v>Meera Kumar</v>
      </c>
      <c r="C42" s="4" t="str">
        <f>'📋 Data Entry'!D43</f>
        <v>Surat</v>
      </c>
      <c r="D42" s="4" t="str">
        <f>'📋 Data Entry'!G43</f>
        <v>JSW</v>
      </c>
      <c r="E42" s="4">
        <f>IF('📋 Data Entry'!I43="Yes",5,0)</f>
        <v>5</v>
      </c>
      <c r="F42" s="4">
        <f>IF('📋 Data Entry'!K43="Yes",5,0)</f>
        <v>5</v>
      </c>
      <c r="G42" s="4">
        <f>'📋 Data Entry'!M43</f>
        <v>2</v>
      </c>
      <c r="H42" s="4">
        <f>'📋 Data Entry'!N43</f>
        <v>4</v>
      </c>
      <c r="I42" s="4">
        <f>'📋 Data Entry'!U43</f>
        <v>4</v>
      </c>
      <c r="J42" s="4">
        <f t="shared" si="0"/>
        <v>79</v>
      </c>
      <c r="K42" s="4" t="str">
        <f t="shared" si="1"/>
        <v>B</v>
      </c>
      <c r="L42" s="4" t="str">
        <f>'📋 Data Entry'!O43</f>
        <v>Feature Claims</v>
      </c>
      <c r="M42" s="4" t="str">
        <f>'📋 Data Entry'!P43</f>
        <v>Product Name</v>
      </c>
      <c r="N42" s="4" t="str">
        <f>'📋 Data Entry'!Q43</f>
        <v>Brand Name</v>
      </c>
    </row>
    <row r="43" spans="1:14" ht="19.5" customHeight="1" x14ac:dyDescent="0.35">
      <c r="A43" s="6">
        <v>40</v>
      </c>
      <c r="B43" s="6" t="str">
        <f>'📋 Data Entry'!B44</f>
        <v>Pooja Dubey</v>
      </c>
      <c r="C43" s="6" t="str">
        <f>'📋 Data Entry'!D44</f>
        <v>Kolkata</v>
      </c>
      <c r="D43" s="6" t="str">
        <f>'📋 Data Entry'!G44</f>
        <v>AP</v>
      </c>
      <c r="E43" s="6">
        <f>IF('📋 Data Entry'!I44="Yes",5,0)</f>
        <v>5</v>
      </c>
      <c r="F43" s="6">
        <f>IF('📋 Data Entry'!K44="Yes",5,0)</f>
        <v>5</v>
      </c>
      <c r="G43" s="6">
        <f>'📋 Data Entry'!M44</f>
        <v>4</v>
      </c>
      <c r="H43" s="6">
        <f>'📋 Data Entry'!N44</f>
        <v>3</v>
      </c>
      <c r="I43" s="6">
        <f>'📋 Data Entry'!U44</f>
        <v>4</v>
      </c>
      <c r="J43" s="6">
        <f t="shared" si="0"/>
        <v>86</v>
      </c>
      <c r="K43" s="6" t="str">
        <f t="shared" si="1"/>
        <v>A</v>
      </c>
      <c r="L43" s="6" t="str">
        <f>'📋 Data Entry'!O44</f>
        <v>Eco Certifications</v>
      </c>
      <c r="M43" s="6" t="str">
        <f>'📋 Data Entry'!P44</f>
        <v>Price Info</v>
      </c>
      <c r="N43" s="6" t="str">
        <f>'📋 Data Entry'!Q44</f>
        <v>Usage Instructions</v>
      </c>
    </row>
    <row r="44" spans="1:14" ht="19.5" customHeight="1" x14ac:dyDescent="0.35">
      <c r="A44" s="11">
        <f>'📋 Data Entry'!A44</f>
        <v>40</v>
      </c>
      <c r="B44" s="12" t="str">
        <f>'📋 Data Entry'!B44</f>
        <v>Pooja Dubey</v>
      </c>
      <c r="C44" s="13" t="str">
        <f>'📋 Data Entry'!D44</f>
        <v>Kolkata</v>
      </c>
      <c r="D44" s="13" t="str">
        <f>'📋 Data Entry'!G44</f>
        <v>AP</v>
      </c>
      <c r="E44" s="14">
        <f>IF('📋 Data Entry'!I44="Yes",5,IF('📋 Data Entry'!I44="No",0,""))</f>
        <v>5</v>
      </c>
      <c r="F44" s="14">
        <f>IF('📋 Data Entry'!K44="Yes",5,IF('📋 Data Entry'!K44="No",0,""))</f>
        <v>5</v>
      </c>
      <c r="G44" s="14" t="str">
        <f>IFERROR(VALUE(LEFT('📋 Data Entry'!M44,FIND(" ",'📋 Data Entry'!M44)-1)),"")</f>
        <v/>
      </c>
      <c r="H44" s="14">
        <f>'📋 Data Entry'!N44</f>
        <v>3</v>
      </c>
      <c r="I44" s="14">
        <f>'📋 Data Entry'!U44</f>
        <v>4</v>
      </c>
      <c r="J44" s="15" t="str">
        <f t="shared" ref="J44:J75" si="2">IFERROR(ROUND((E44/5*25)+(F44/5*20)+(G44/5*25)+(H44/5*15)+(I44/5*15),1),"")</f>
        <v/>
      </c>
      <c r="K44" s="16" t="str">
        <f t="shared" ref="K44:K75" si="3">IF(J44="","",IF(J44&gt;=80,"Excellent",IF(J44&gt;=65,"Good",IF(J44&gt;=50,"Average","Weak"))))</f>
        <v/>
      </c>
      <c r="L44" s="17" t="str">
        <f>'📋 Data Entry'!O44</f>
        <v>Eco Certifications</v>
      </c>
      <c r="M44" s="17" t="str">
        <f>'📋 Data Entry'!P44</f>
        <v>Price Info</v>
      </c>
      <c r="N44" s="17" t="str">
        <f>'📋 Data Entry'!Q44</f>
        <v>Usage Instructions</v>
      </c>
    </row>
    <row r="45" spans="1:14" ht="19.5" customHeight="1" x14ac:dyDescent="0.35">
      <c r="A45" s="8" t="str">
        <f>'📋 Data Entry'!A45</f>
        <v/>
      </c>
      <c r="B45" s="9">
        <f>'📋 Data Entry'!B45</f>
        <v>0</v>
      </c>
      <c r="C45" s="10">
        <f>'📋 Data Entry'!D45</f>
        <v>0</v>
      </c>
      <c r="D45" s="10">
        <f>'📋 Data Entry'!G45</f>
        <v>0</v>
      </c>
      <c r="E45" s="18" t="str">
        <f>IF('📋 Data Entry'!I45="Yes",5,IF('📋 Data Entry'!I45="No",0,""))</f>
        <v/>
      </c>
      <c r="F45" s="18" t="str">
        <f>IF('📋 Data Entry'!K45="Yes",5,IF('📋 Data Entry'!K45="No",0,""))</f>
        <v/>
      </c>
      <c r="G45" s="18" t="str">
        <f>IFERROR(VALUE(LEFT('📋 Data Entry'!M45,FIND(" ",'📋 Data Entry'!M45)-1)),"")</f>
        <v/>
      </c>
      <c r="H45" s="18">
        <f>'📋 Data Entry'!N45</f>
        <v>0</v>
      </c>
      <c r="I45" s="18">
        <f>'📋 Data Entry'!U45</f>
        <v>0</v>
      </c>
      <c r="J45" s="15" t="str">
        <f t="shared" si="2"/>
        <v/>
      </c>
      <c r="K45" s="19" t="str">
        <f t="shared" si="3"/>
        <v/>
      </c>
      <c r="L45" s="20">
        <f>'📋 Data Entry'!O45</f>
        <v>0</v>
      </c>
      <c r="M45" s="20">
        <f>'📋 Data Entry'!P45</f>
        <v>0</v>
      </c>
      <c r="N45" s="20">
        <f>'📋 Data Entry'!Q45</f>
        <v>0</v>
      </c>
    </row>
    <row r="46" spans="1:14" ht="19.5" customHeight="1" x14ac:dyDescent="0.35">
      <c r="A46" s="11" t="str">
        <f>'📋 Data Entry'!A46</f>
        <v/>
      </c>
      <c r="B46" s="12">
        <f>'📋 Data Entry'!B46</f>
        <v>0</v>
      </c>
      <c r="C46" s="13">
        <f>'📋 Data Entry'!D46</f>
        <v>0</v>
      </c>
      <c r="D46" s="13">
        <f>'📋 Data Entry'!G46</f>
        <v>0</v>
      </c>
      <c r="E46" s="14" t="str">
        <f>IF('📋 Data Entry'!I46="Yes",5,IF('📋 Data Entry'!I46="No",0,""))</f>
        <v/>
      </c>
      <c r="F46" s="14" t="str">
        <f>IF('📋 Data Entry'!K46="Yes",5,IF('📋 Data Entry'!K46="No",0,""))</f>
        <v/>
      </c>
      <c r="G46" s="14" t="str">
        <f>IFERROR(VALUE(LEFT('📋 Data Entry'!M46,FIND(" ",'📋 Data Entry'!M46)-1)),"")</f>
        <v/>
      </c>
      <c r="H46" s="14">
        <f>'📋 Data Entry'!N46</f>
        <v>0</v>
      </c>
      <c r="I46" s="14">
        <f>'📋 Data Entry'!U46</f>
        <v>0</v>
      </c>
      <c r="J46" s="15" t="str">
        <f t="shared" si="2"/>
        <v/>
      </c>
      <c r="K46" s="16" t="str">
        <f t="shared" si="3"/>
        <v/>
      </c>
      <c r="L46" s="17">
        <f>'📋 Data Entry'!O46</f>
        <v>0</v>
      </c>
      <c r="M46" s="17">
        <f>'📋 Data Entry'!P46</f>
        <v>0</v>
      </c>
      <c r="N46" s="17">
        <f>'📋 Data Entry'!Q46</f>
        <v>0</v>
      </c>
    </row>
    <row r="47" spans="1:14" ht="19.5" customHeight="1" x14ac:dyDescent="0.35">
      <c r="A47" s="8" t="str">
        <f>'📋 Data Entry'!A47</f>
        <v/>
      </c>
      <c r="B47" s="9">
        <f>'📋 Data Entry'!B47</f>
        <v>0</v>
      </c>
      <c r="C47" s="10">
        <f>'📋 Data Entry'!D47</f>
        <v>0</v>
      </c>
      <c r="D47" s="10">
        <f>'📋 Data Entry'!G47</f>
        <v>0</v>
      </c>
      <c r="E47" s="18" t="str">
        <f>IF('📋 Data Entry'!I47="Yes",5,IF('📋 Data Entry'!I47="No",0,""))</f>
        <v/>
      </c>
      <c r="F47" s="18" t="str">
        <f>IF('📋 Data Entry'!K47="Yes",5,IF('📋 Data Entry'!K47="No",0,""))</f>
        <v/>
      </c>
      <c r="G47" s="18" t="str">
        <f>IFERROR(VALUE(LEFT('📋 Data Entry'!M47,FIND(" ",'📋 Data Entry'!M47)-1)),"")</f>
        <v/>
      </c>
      <c r="H47" s="18">
        <f>'📋 Data Entry'!N47</f>
        <v>0</v>
      </c>
      <c r="I47" s="18">
        <f>'📋 Data Entry'!U47</f>
        <v>0</v>
      </c>
      <c r="J47" s="15" t="str">
        <f t="shared" si="2"/>
        <v/>
      </c>
      <c r="K47" s="19" t="str">
        <f t="shared" si="3"/>
        <v/>
      </c>
      <c r="L47" s="20">
        <f>'📋 Data Entry'!O47</f>
        <v>0</v>
      </c>
      <c r="M47" s="20">
        <f>'📋 Data Entry'!P47</f>
        <v>0</v>
      </c>
      <c r="N47" s="20">
        <f>'📋 Data Entry'!Q47</f>
        <v>0</v>
      </c>
    </row>
    <row r="48" spans="1:14" ht="19.5" customHeight="1" x14ac:dyDescent="0.35">
      <c r="A48" s="11" t="str">
        <f>'📋 Data Entry'!A48</f>
        <v/>
      </c>
      <c r="B48" s="12">
        <f>'📋 Data Entry'!B48</f>
        <v>0</v>
      </c>
      <c r="C48" s="13">
        <f>'📋 Data Entry'!D48</f>
        <v>0</v>
      </c>
      <c r="D48" s="13">
        <f>'📋 Data Entry'!G48</f>
        <v>0</v>
      </c>
      <c r="E48" s="14" t="str">
        <f>IF('📋 Data Entry'!I48="Yes",5,IF('📋 Data Entry'!I48="No",0,""))</f>
        <v/>
      </c>
      <c r="F48" s="14" t="str">
        <f>IF('📋 Data Entry'!K48="Yes",5,IF('📋 Data Entry'!K48="No",0,""))</f>
        <v/>
      </c>
      <c r="G48" s="14" t="str">
        <f>IFERROR(VALUE(LEFT('📋 Data Entry'!M48,FIND(" ",'📋 Data Entry'!M48)-1)),"")</f>
        <v/>
      </c>
      <c r="H48" s="14">
        <f>'📋 Data Entry'!N48</f>
        <v>0</v>
      </c>
      <c r="I48" s="14">
        <f>'📋 Data Entry'!U48</f>
        <v>0</v>
      </c>
      <c r="J48" s="15" t="str">
        <f t="shared" si="2"/>
        <v/>
      </c>
      <c r="K48" s="16" t="str">
        <f t="shared" si="3"/>
        <v/>
      </c>
      <c r="L48" s="17">
        <f>'📋 Data Entry'!O48</f>
        <v>0</v>
      </c>
      <c r="M48" s="17">
        <f>'📋 Data Entry'!P48</f>
        <v>0</v>
      </c>
      <c r="N48" s="17">
        <f>'📋 Data Entry'!Q48</f>
        <v>0</v>
      </c>
    </row>
    <row r="49" spans="1:14" ht="19.5" customHeight="1" x14ac:dyDescent="0.35">
      <c r="A49" s="8" t="str">
        <f>'📋 Data Entry'!A49</f>
        <v/>
      </c>
      <c r="B49" s="9">
        <f>'📋 Data Entry'!B49</f>
        <v>0</v>
      </c>
      <c r="C49" s="10">
        <f>'📋 Data Entry'!D49</f>
        <v>0</v>
      </c>
      <c r="D49" s="10">
        <f>'📋 Data Entry'!G49</f>
        <v>0</v>
      </c>
      <c r="E49" s="18" t="str">
        <f>IF('📋 Data Entry'!I49="Yes",5,IF('📋 Data Entry'!I49="No",0,""))</f>
        <v/>
      </c>
      <c r="F49" s="18" t="str">
        <f>IF('📋 Data Entry'!K49="Yes",5,IF('📋 Data Entry'!K49="No",0,""))</f>
        <v/>
      </c>
      <c r="G49" s="18" t="str">
        <f>IFERROR(VALUE(LEFT('📋 Data Entry'!M49,FIND(" ",'📋 Data Entry'!M49)-1)),"")</f>
        <v/>
      </c>
      <c r="H49" s="18">
        <f>'📋 Data Entry'!N49</f>
        <v>0</v>
      </c>
      <c r="I49" s="18">
        <f>'📋 Data Entry'!U49</f>
        <v>0</v>
      </c>
      <c r="J49" s="15" t="str">
        <f t="shared" si="2"/>
        <v/>
      </c>
      <c r="K49" s="19" t="str">
        <f t="shared" si="3"/>
        <v/>
      </c>
      <c r="L49" s="20">
        <f>'📋 Data Entry'!O49</f>
        <v>0</v>
      </c>
      <c r="M49" s="20">
        <f>'📋 Data Entry'!P49</f>
        <v>0</v>
      </c>
      <c r="N49" s="20">
        <f>'📋 Data Entry'!Q49</f>
        <v>0</v>
      </c>
    </row>
    <row r="50" spans="1:14" ht="19.5" customHeight="1" x14ac:dyDescent="0.35">
      <c r="A50" s="11" t="str">
        <f>'📋 Data Entry'!A50</f>
        <v/>
      </c>
      <c r="B50" s="12">
        <f>'📋 Data Entry'!B50</f>
        <v>0</v>
      </c>
      <c r="C50" s="13">
        <f>'📋 Data Entry'!D50</f>
        <v>0</v>
      </c>
      <c r="D50" s="13">
        <f>'📋 Data Entry'!G50</f>
        <v>0</v>
      </c>
      <c r="E50" s="14" t="str">
        <f>IF('📋 Data Entry'!I50="Yes",5,IF('📋 Data Entry'!I50="No",0,""))</f>
        <v/>
      </c>
      <c r="F50" s="14" t="str">
        <f>IF('📋 Data Entry'!K50="Yes",5,IF('📋 Data Entry'!K50="No",0,""))</f>
        <v/>
      </c>
      <c r="G50" s="14" t="str">
        <f>IFERROR(VALUE(LEFT('📋 Data Entry'!M50,FIND(" ",'📋 Data Entry'!M50)-1)),"")</f>
        <v/>
      </c>
      <c r="H50" s="14">
        <f>'📋 Data Entry'!N50</f>
        <v>0</v>
      </c>
      <c r="I50" s="14">
        <f>'📋 Data Entry'!U50</f>
        <v>0</v>
      </c>
      <c r="J50" s="15" t="str">
        <f t="shared" si="2"/>
        <v/>
      </c>
      <c r="K50" s="16" t="str">
        <f t="shared" si="3"/>
        <v/>
      </c>
      <c r="L50" s="17">
        <f>'📋 Data Entry'!O50</f>
        <v>0</v>
      </c>
      <c r="M50" s="17">
        <f>'📋 Data Entry'!P50</f>
        <v>0</v>
      </c>
      <c r="N50" s="17">
        <f>'📋 Data Entry'!Q50</f>
        <v>0</v>
      </c>
    </row>
    <row r="51" spans="1:14" ht="19.5" customHeight="1" x14ac:dyDescent="0.35">
      <c r="A51" s="8" t="str">
        <f>'📋 Data Entry'!A51</f>
        <v/>
      </c>
      <c r="B51" s="9">
        <f>'📋 Data Entry'!B51</f>
        <v>0</v>
      </c>
      <c r="C51" s="10">
        <f>'📋 Data Entry'!D51</f>
        <v>0</v>
      </c>
      <c r="D51" s="10">
        <f>'📋 Data Entry'!G51</f>
        <v>0</v>
      </c>
      <c r="E51" s="18" t="str">
        <f>IF('📋 Data Entry'!I51="Yes",5,IF('📋 Data Entry'!I51="No",0,""))</f>
        <v/>
      </c>
      <c r="F51" s="18" t="str">
        <f>IF('📋 Data Entry'!K51="Yes",5,IF('📋 Data Entry'!K51="No",0,""))</f>
        <v/>
      </c>
      <c r="G51" s="18" t="str">
        <f>IFERROR(VALUE(LEFT('📋 Data Entry'!M51,FIND(" ",'📋 Data Entry'!M51)-1)),"")</f>
        <v/>
      </c>
      <c r="H51" s="18">
        <f>'📋 Data Entry'!N51</f>
        <v>0</v>
      </c>
      <c r="I51" s="18">
        <f>'📋 Data Entry'!U51</f>
        <v>0</v>
      </c>
      <c r="J51" s="15" t="str">
        <f t="shared" si="2"/>
        <v/>
      </c>
      <c r="K51" s="19" t="str">
        <f t="shared" si="3"/>
        <v/>
      </c>
      <c r="L51" s="20">
        <f>'📋 Data Entry'!O51</f>
        <v>0</v>
      </c>
      <c r="M51" s="20">
        <f>'📋 Data Entry'!P51</f>
        <v>0</v>
      </c>
      <c r="N51" s="20">
        <f>'📋 Data Entry'!Q51</f>
        <v>0</v>
      </c>
    </row>
    <row r="52" spans="1:14" ht="19.5" customHeight="1" x14ac:dyDescent="0.35">
      <c r="A52" s="11" t="str">
        <f>'📋 Data Entry'!A52</f>
        <v/>
      </c>
      <c r="B52" s="12">
        <f>'📋 Data Entry'!B52</f>
        <v>0</v>
      </c>
      <c r="C52" s="13">
        <f>'📋 Data Entry'!D52</f>
        <v>0</v>
      </c>
      <c r="D52" s="13">
        <f>'📋 Data Entry'!G52</f>
        <v>0</v>
      </c>
      <c r="E52" s="14" t="str">
        <f>IF('📋 Data Entry'!I52="Yes",5,IF('📋 Data Entry'!I52="No",0,""))</f>
        <v/>
      </c>
      <c r="F52" s="14" t="str">
        <f>IF('📋 Data Entry'!K52="Yes",5,IF('📋 Data Entry'!K52="No",0,""))</f>
        <v/>
      </c>
      <c r="G52" s="14" t="str">
        <f>IFERROR(VALUE(LEFT('📋 Data Entry'!M52,FIND(" ",'📋 Data Entry'!M52)-1)),"")</f>
        <v/>
      </c>
      <c r="H52" s="14">
        <f>'📋 Data Entry'!N52</f>
        <v>0</v>
      </c>
      <c r="I52" s="14">
        <f>'📋 Data Entry'!U52</f>
        <v>0</v>
      </c>
      <c r="J52" s="15" t="str">
        <f t="shared" si="2"/>
        <v/>
      </c>
      <c r="K52" s="16" t="str">
        <f t="shared" si="3"/>
        <v/>
      </c>
      <c r="L52" s="17">
        <f>'📋 Data Entry'!O52</f>
        <v>0</v>
      </c>
      <c r="M52" s="17">
        <f>'📋 Data Entry'!P52</f>
        <v>0</v>
      </c>
      <c r="N52" s="17">
        <f>'📋 Data Entry'!Q52</f>
        <v>0</v>
      </c>
    </row>
    <row r="53" spans="1:14" ht="19.5" customHeight="1" x14ac:dyDescent="0.35">
      <c r="A53" s="8" t="str">
        <f>'📋 Data Entry'!A53</f>
        <v/>
      </c>
      <c r="B53" s="9">
        <f>'📋 Data Entry'!B53</f>
        <v>0</v>
      </c>
      <c r="C53" s="10">
        <f>'📋 Data Entry'!D53</f>
        <v>0</v>
      </c>
      <c r="D53" s="10">
        <f>'📋 Data Entry'!G53</f>
        <v>0</v>
      </c>
      <c r="E53" s="18" t="str">
        <f>IF('📋 Data Entry'!I53="Yes",5,IF('📋 Data Entry'!I53="No",0,""))</f>
        <v/>
      </c>
      <c r="F53" s="18" t="str">
        <f>IF('📋 Data Entry'!K53="Yes",5,IF('📋 Data Entry'!K53="No",0,""))</f>
        <v/>
      </c>
      <c r="G53" s="18" t="str">
        <f>IFERROR(VALUE(LEFT('📋 Data Entry'!M53,FIND(" ",'📋 Data Entry'!M53)-1)),"")</f>
        <v/>
      </c>
      <c r="H53" s="18">
        <f>'📋 Data Entry'!N53</f>
        <v>0</v>
      </c>
      <c r="I53" s="18">
        <f>'📋 Data Entry'!U53</f>
        <v>0</v>
      </c>
      <c r="J53" s="15" t="str">
        <f t="shared" si="2"/>
        <v/>
      </c>
      <c r="K53" s="19" t="str">
        <f t="shared" si="3"/>
        <v/>
      </c>
      <c r="L53" s="20">
        <f>'📋 Data Entry'!O53</f>
        <v>0</v>
      </c>
      <c r="M53" s="20">
        <f>'📋 Data Entry'!P53</f>
        <v>0</v>
      </c>
      <c r="N53" s="20">
        <f>'📋 Data Entry'!Q53</f>
        <v>0</v>
      </c>
    </row>
    <row r="54" spans="1:14" ht="19.5" customHeight="1" x14ac:dyDescent="0.35">
      <c r="A54" s="11" t="str">
        <f>'📋 Data Entry'!A54</f>
        <v/>
      </c>
      <c r="B54" s="12">
        <f>'📋 Data Entry'!B54</f>
        <v>0</v>
      </c>
      <c r="C54" s="13">
        <f>'📋 Data Entry'!D54</f>
        <v>0</v>
      </c>
      <c r="D54" s="13">
        <f>'📋 Data Entry'!G54</f>
        <v>0</v>
      </c>
      <c r="E54" s="14" t="str">
        <f>IF('📋 Data Entry'!I54="Yes",5,IF('📋 Data Entry'!I54="No",0,""))</f>
        <v/>
      </c>
      <c r="F54" s="14" t="str">
        <f>IF('📋 Data Entry'!K54="Yes",5,IF('📋 Data Entry'!K54="No",0,""))</f>
        <v/>
      </c>
      <c r="G54" s="14" t="str">
        <f>IFERROR(VALUE(LEFT('📋 Data Entry'!M54,FIND(" ",'📋 Data Entry'!M54)-1)),"")</f>
        <v/>
      </c>
      <c r="H54" s="14">
        <f>'📋 Data Entry'!N54</f>
        <v>0</v>
      </c>
      <c r="I54" s="14">
        <f>'📋 Data Entry'!U54</f>
        <v>0</v>
      </c>
      <c r="J54" s="15" t="str">
        <f t="shared" si="2"/>
        <v/>
      </c>
      <c r="K54" s="16" t="str">
        <f t="shared" si="3"/>
        <v/>
      </c>
      <c r="L54" s="17">
        <f>'📋 Data Entry'!O54</f>
        <v>0</v>
      </c>
      <c r="M54" s="17">
        <f>'📋 Data Entry'!P54</f>
        <v>0</v>
      </c>
      <c r="N54" s="17">
        <f>'📋 Data Entry'!Q54</f>
        <v>0</v>
      </c>
    </row>
    <row r="55" spans="1:14" ht="19.5" customHeight="1" x14ac:dyDescent="0.35">
      <c r="A55" s="8" t="str">
        <f>'📋 Data Entry'!A55</f>
        <v/>
      </c>
      <c r="B55" s="9">
        <f>'📋 Data Entry'!B55</f>
        <v>0</v>
      </c>
      <c r="C55" s="10">
        <f>'📋 Data Entry'!D55</f>
        <v>0</v>
      </c>
      <c r="D55" s="10">
        <f>'📋 Data Entry'!G55</f>
        <v>0</v>
      </c>
      <c r="E55" s="18" t="str">
        <f>IF('📋 Data Entry'!I55="Yes",5,IF('📋 Data Entry'!I55="No",0,""))</f>
        <v/>
      </c>
      <c r="F55" s="18" t="str">
        <f>IF('📋 Data Entry'!K55="Yes",5,IF('📋 Data Entry'!K55="No",0,""))</f>
        <v/>
      </c>
      <c r="G55" s="18" t="str">
        <f>IFERROR(VALUE(LEFT('📋 Data Entry'!M55,FIND(" ",'📋 Data Entry'!M55)-1)),"")</f>
        <v/>
      </c>
      <c r="H55" s="18">
        <f>'📋 Data Entry'!N55</f>
        <v>0</v>
      </c>
      <c r="I55" s="18">
        <f>'📋 Data Entry'!U55</f>
        <v>0</v>
      </c>
      <c r="J55" s="15" t="str">
        <f t="shared" si="2"/>
        <v/>
      </c>
      <c r="K55" s="19" t="str">
        <f t="shared" si="3"/>
        <v/>
      </c>
      <c r="L55" s="20">
        <f>'📋 Data Entry'!O55</f>
        <v>0</v>
      </c>
      <c r="M55" s="20">
        <f>'📋 Data Entry'!P55</f>
        <v>0</v>
      </c>
      <c r="N55" s="20">
        <f>'📋 Data Entry'!Q55</f>
        <v>0</v>
      </c>
    </row>
    <row r="56" spans="1:14" ht="19.5" customHeight="1" x14ac:dyDescent="0.35">
      <c r="A56" s="11" t="str">
        <f>'📋 Data Entry'!A56</f>
        <v/>
      </c>
      <c r="B56" s="12">
        <f>'📋 Data Entry'!B56</f>
        <v>0</v>
      </c>
      <c r="C56" s="13">
        <f>'📋 Data Entry'!D56</f>
        <v>0</v>
      </c>
      <c r="D56" s="13">
        <f>'📋 Data Entry'!G56</f>
        <v>0</v>
      </c>
      <c r="E56" s="14" t="str">
        <f>IF('📋 Data Entry'!I56="Yes",5,IF('📋 Data Entry'!I56="No",0,""))</f>
        <v/>
      </c>
      <c r="F56" s="14" t="str">
        <f>IF('📋 Data Entry'!K56="Yes",5,IF('📋 Data Entry'!K56="No",0,""))</f>
        <v/>
      </c>
      <c r="G56" s="14" t="str">
        <f>IFERROR(VALUE(LEFT('📋 Data Entry'!M56,FIND(" ",'📋 Data Entry'!M56)-1)),"")</f>
        <v/>
      </c>
      <c r="H56" s="14">
        <f>'📋 Data Entry'!N56</f>
        <v>0</v>
      </c>
      <c r="I56" s="14">
        <f>'📋 Data Entry'!U56</f>
        <v>0</v>
      </c>
      <c r="J56" s="15" t="str">
        <f t="shared" si="2"/>
        <v/>
      </c>
      <c r="K56" s="16" t="str">
        <f t="shared" si="3"/>
        <v/>
      </c>
      <c r="L56" s="17">
        <f>'📋 Data Entry'!O56</f>
        <v>0</v>
      </c>
      <c r="M56" s="17">
        <f>'📋 Data Entry'!P56</f>
        <v>0</v>
      </c>
      <c r="N56" s="17">
        <f>'📋 Data Entry'!Q56</f>
        <v>0</v>
      </c>
    </row>
    <row r="57" spans="1:14" ht="19.5" customHeight="1" x14ac:dyDescent="0.35">
      <c r="A57" s="8" t="str">
        <f>'📋 Data Entry'!A57</f>
        <v/>
      </c>
      <c r="B57" s="9">
        <f>'📋 Data Entry'!B57</f>
        <v>0</v>
      </c>
      <c r="C57" s="10">
        <f>'📋 Data Entry'!D57</f>
        <v>0</v>
      </c>
      <c r="D57" s="10">
        <f>'📋 Data Entry'!G57</f>
        <v>0</v>
      </c>
      <c r="E57" s="18" t="str">
        <f>IF('📋 Data Entry'!I57="Yes",5,IF('📋 Data Entry'!I57="No",0,""))</f>
        <v/>
      </c>
      <c r="F57" s="18" t="str">
        <f>IF('📋 Data Entry'!K57="Yes",5,IF('📋 Data Entry'!K57="No",0,""))</f>
        <v/>
      </c>
      <c r="G57" s="18" t="str">
        <f>IFERROR(VALUE(LEFT('📋 Data Entry'!M57,FIND(" ",'📋 Data Entry'!M57)-1)),"")</f>
        <v/>
      </c>
      <c r="H57" s="18">
        <f>'📋 Data Entry'!N57</f>
        <v>0</v>
      </c>
      <c r="I57" s="18">
        <f>'📋 Data Entry'!U57</f>
        <v>0</v>
      </c>
      <c r="J57" s="15" t="str">
        <f t="shared" si="2"/>
        <v/>
      </c>
      <c r="K57" s="19" t="str">
        <f t="shared" si="3"/>
        <v/>
      </c>
      <c r="L57" s="20">
        <f>'📋 Data Entry'!O57</f>
        <v>0</v>
      </c>
      <c r="M57" s="20">
        <f>'📋 Data Entry'!P57</f>
        <v>0</v>
      </c>
      <c r="N57" s="20">
        <f>'📋 Data Entry'!Q57</f>
        <v>0</v>
      </c>
    </row>
    <row r="58" spans="1:14" ht="19.5" customHeight="1" x14ac:dyDescent="0.35">
      <c r="A58" s="11" t="str">
        <f>'📋 Data Entry'!A58</f>
        <v/>
      </c>
      <c r="B58" s="12">
        <f>'📋 Data Entry'!B58</f>
        <v>0</v>
      </c>
      <c r="C58" s="13">
        <f>'📋 Data Entry'!D58</f>
        <v>0</v>
      </c>
      <c r="D58" s="13">
        <f>'📋 Data Entry'!G58</f>
        <v>0</v>
      </c>
      <c r="E58" s="14" t="str">
        <f>IF('📋 Data Entry'!I58="Yes",5,IF('📋 Data Entry'!I58="No",0,""))</f>
        <v/>
      </c>
      <c r="F58" s="14" t="str">
        <f>IF('📋 Data Entry'!K58="Yes",5,IF('📋 Data Entry'!K58="No",0,""))</f>
        <v/>
      </c>
      <c r="G58" s="14" t="str">
        <f>IFERROR(VALUE(LEFT('📋 Data Entry'!M58,FIND(" ",'📋 Data Entry'!M58)-1)),"")</f>
        <v/>
      </c>
      <c r="H58" s="14">
        <f>'📋 Data Entry'!N58</f>
        <v>0</v>
      </c>
      <c r="I58" s="14">
        <f>'📋 Data Entry'!U58</f>
        <v>0</v>
      </c>
      <c r="J58" s="15" t="str">
        <f t="shared" si="2"/>
        <v/>
      </c>
      <c r="K58" s="16" t="str">
        <f t="shared" si="3"/>
        <v/>
      </c>
      <c r="L58" s="17">
        <f>'📋 Data Entry'!O58</f>
        <v>0</v>
      </c>
      <c r="M58" s="17">
        <f>'📋 Data Entry'!P58</f>
        <v>0</v>
      </c>
      <c r="N58" s="17">
        <f>'📋 Data Entry'!Q58</f>
        <v>0</v>
      </c>
    </row>
    <row r="59" spans="1:14" ht="19.5" customHeight="1" x14ac:dyDescent="0.35">
      <c r="A59" s="8" t="str">
        <f>'📋 Data Entry'!A59</f>
        <v/>
      </c>
      <c r="B59" s="9">
        <f>'📋 Data Entry'!B59</f>
        <v>0</v>
      </c>
      <c r="C59" s="10">
        <f>'📋 Data Entry'!D59</f>
        <v>0</v>
      </c>
      <c r="D59" s="10">
        <f>'📋 Data Entry'!G59</f>
        <v>0</v>
      </c>
      <c r="E59" s="18" t="str">
        <f>IF('📋 Data Entry'!I59="Yes",5,IF('📋 Data Entry'!I59="No",0,""))</f>
        <v/>
      </c>
      <c r="F59" s="18" t="str">
        <f>IF('📋 Data Entry'!K59="Yes",5,IF('📋 Data Entry'!K59="No",0,""))</f>
        <v/>
      </c>
      <c r="G59" s="18" t="str">
        <f>IFERROR(VALUE(LEFT('📋 Data Entry'!M59,FIND(" ",'📋 Data Entry'!M59)-1)),"")</f>
        <v/>
      </c>
      <c r="H59" s="18">
        <f>'📋 Data Entry'!N59</f>
        <v>0</v>
      </c>
      <c r="I59" s="18">
        <f>'📋 Data Entry'!U59</f>
        <v>0</v>
      </c>
      <c r="J59" s="15" t="str">
        <f t="shared" si="2"/>
        <v/>
      </c>
      <c r="K59" s="19" t="str">
        <f t="shared" si="3"/>
        <v/>
      </c>
      <c r="L59" s="20">
        <f>'📋 Data Entry'!O59</f>
        <v>0</v>
      </c>
      <c r="M59" s="20">
        <f>'📋 Data Entry'!P59</f>
        <v>0</v>
      </c>
      <c r="N59" s="20">
        <f>'📋 Data Entry'!Q59</f>
        <v>0</v>
      </c>
    </row>
    <row r="60" spans="1:14" ht="19.5" customHeight="1" x14ac:dyDescent="0.35">
      <c r="A60" s="11" t="str">
        <f>'📋 Data Entry'!A60</f>
        <v/>
      </c>
      <c r="B60" s="12">
        <f>'📋 Data Entry'!B60</f>
        <v>0</v>
      </c>
      <c r="C60" s="13">
        <f>'📋 Data Entry'!D60</f>
        <v>0</v>
      </c>
      <c r="D60" s="13">
        <f>'📋 Data Entry'!G60</f>
        <v>0</v>
      </c>
      <c r="E60" s="14" t="str">
        <f>IF('📋 Data Entry'!I60="Yes",5,IF('📋 Data Entry'!I60="No",0,""))</f>
        <v/>
      </c>
      <c r="F60" s="14" t="str">
        <f>IF('📋 Data Entry'!K60="Yes",5,IF('📋 Data Entry'!K60="No",0,""))</f>
        <v/>
      </c>
      <c r="G60" s="14" t="str">
        <f>IFERROR(VALUE(LEFT('📋 Data Entry'!M60,FIND(" ",'📋 Data Entry'!M60)-1)),"")</f>
        <v/>
      </c>
      <c r="H60" s="14">
        <f>'📋 Data Entry'!N60</f>
        <v>0</v>
      </c>
      <c r="I60" s="14">
        <f>'📋 Data Entry'!U60</f>
        <v>0</v>
      </c>
      <c r="J60" s="15" t="str">
        <f t="shared" si="2"/>
        <v/>
      </c>
      <c r="K60" s="16" t="str">
        <f t="shared" si="3"/>
        <v/>
      </c>
      <c r="L60" s="17">
        <f>'📋 Data Entry'!O60</f>
        <v>0</v>
      </c>
      <c r="M60" s="17">
        <f>'📋 Data Entry'!P60</f>
        <v>0</v>
      </c>
      <c r="N60" s="17">
        <f>'📋 Data Entry'!Q60</f>
        <v>0</v>
      </c>
    </row>
    <row r="61" spans="1:14" ht="19.5" customHeight="1" x14ac:dyDescent="0.35">
      <c r="A61" s="8" t="str">
        <f>'📋 Data Entry'!A61</f>
        <v/>
      </c>
      <c r="B61" s="9">
        <f>'📋 Data Entry'!B61</f>
        <v>0</v>
      </c>
      <c r="C61" s="10">
        <f>'📋 Data Entry'!D61</f>
        <v>0</v>
      </c>
      <c r="D61" s="10">
        <f>'📋 Data Entry'!G61</f>
        <v>0</v>
      </c>
      <c r="E61" s="18" t="str">
        <f>IF('📋 Data Entry'!I61="Yes",5,IF('📋 Data Entry'!I61="No",0,""))</f>
        <v/>
      </c>
      <c r="F61" s="18" t="str">
        <f>IF('📋 Data Entry'!K61="Yes",5,IF('📋 Data Entry'!K61="No",0,""))</f>
        <v/>
      </c>
      <c r="G61" s="18" t="str">
        <f>IFERROR(VALUE(LEFT('📋 Data Entry'!M61,FIND(" ",'📋 Data Entry'!M61)-1)),"")</f>
        <v/>
      </c>
      <c r="H61" s="18">
        <f>'📋 Data Entry'!N61</f>
        <v>0</v>
      </c>
      <c r="I61" s="18">
        <f>'📋 Data Entry'!U61</f>
        <v>0</v>
      </c>
      <c r="J61" s="15" t="str">
        <f t="shared" si="2"/>
        <v/>
      </c>
      <c r="K61" s="19" t="str">
        <f t="shared" si="3"/>
        <v/>
      </c>
      <c r="L61" s="20">
        <f>'📋 Data Entry'!O61</f>
        <v>0</v>
      </c>
      <c r="M61" s="20">
        <f>'📋 Data Entry'!P61</f>
        <v>0</v>
      </c>
      <c r="N61" s="20">
        <f>'📋 Data Entry'!Q61</f>
        <v>0</v>
      </c>
    </row>
    <row r="62" spans="1:14" ht="19.5" customHeight="1" x14ac:dyDescent="0.35">
      <c r="A62" s="11" t="str">
        <f>'📋 Data Entry'!A62</f>
        <v/>
      </c>
      <c r="B62" s="12">
        <f>'📋 Data Entry'!B62</f>
        <v>0</v>
      </c>
      <c r="C62" s="13">
        <f>'📋 Data Entry'!D62</f>
        <v>0</v>
      </c>
      <c r="D62" s="13">
        <f>'📋 Data Entry'!G62</f>
        <v>0</v>
      </c>
      <c r="E62" s="14" t="str">
        <f>IF('📋 Data Entry'!I62="Yes",5,IF('📋 Data Entry'!I62="No",0,""))</f>
        <v/>
      </c>
      <c r="F62" s="14" t="str">
        <f>IF('📋 Data Entry'!K62="Yes",5,IF('📋 Data Entry'!K62="No",0,""))</f>
        <v/>
      </c>
      <c r="G62" s="14" t="str">
        <f>IFERROR(VALUE(LEFT('📋 Data Entry'!M62,FIND(" ",'📋 Data Entry'!M62)-1)),"")</f>
        <v/>
      </c>
      <c r="H62" s="14">
        <f>'📋 Data Entry'!N62</f>
        <v>0</v>
      </c>
      <c r="I62" s="14">
        <f>'📋 Data Entry'!U62</f>
        <v>0</v>
      </c>
      <c r="J62" s="15" t="str">
        <f t="shared" si="2"/>
        <v/>
      </c>
      <c r="K62" s="16" t="str">
        <f t="shared" si="3"/>
        <v/>
      </c>
      <c r="L62" s="17">
        <f>'📋 Data Entry'!O62</f>
        <v>0</v>
      </c>
      <c r="M62" s="17">
        <f>'📋 Data Entry'!P62</f>
        <v>0</v>
      </c>
      <c r="N62" s="17">
        <f>'📋 Data Entry'!Q62</f>
        <v>0</v>
      </c>
    </row>
    <row r="63" spans="1:14" ht="19.5" customHeight="1" x14ac:dyDescent="0.35">
      <c r="A63" s="8" t="str">
        <f>'📋 Data Entry'!A63</f>
        <v/>
      </c>
      <c r="B63" s="9">
        <f>'📋 Data Entry'!B63</f>
        <v>0</v>
      </c>
      <c r="C63" s="10">
        <f>'📋 Data Entry'!D63</f>
        <v>0</v>
      </c>
      <c r="D63" s="10">
        <f>'📋 Data Entry'!G63</f>
        <v>0</v>
      </c>
      <c r="E63" s="18" t="str">
        <f>IF('📋 Data Entry'!I63="Yes",5,IF('📋 Data Entry'!I63="No",0,""))</f>
        <v/>
      </c>
      <c r="F63" s="18" t="str">
        <f>IF('📋 Data Entry'!K63="Yes",5,IF('📋 Data Entry'!K63="No",0,""))</f>
        <v/>
      </c>
      <c r="G63" s="18" t="str">
        <f>IFERROR(VALUE(LEFT('📋 Data Entry'!M63,FIND(" ",'📋 Data Entry'!M63)-1)),"")</f>
        <v/>
      </c>
      <c r="H63" s="18">
        <f>'📋 Data Entry'!N63</f>
        <v>0</v>
      </c>
      <c r="I63" s="18">
        <f>'📋 Data Entry'!U63</f>
        <v>0</v>
      </c>
      <c r="J63" s="15" t="str">
        <f t="shared" si="2"/>
        <v/>
      </c>
      <c r="K63" s="19" t="str">
        <f t="shared" si="3"/>
        <v/>
      </c>
      <c r="L63" s="20">
        <f>'📋 Data Entry'!O63</f>
        <v>0</v>
      </c>
      <c r="M63" s="20">
        <f>'📋 Data Entry'!P63</f>
        <v>0</v>
      </c>
      <c r="N63" s="20">
        <f>'📋 Data Entry'!Q63</f>
        <v>0</v>
      </c>
    </row>
    <row r="64" spans="1:14" ht="19.5" customHeight="1" x14ac:dyDescent="0.35">
      <c r="A64" s="11" t="str">
        <f>'📋 Data Entry'!A64</f>
        <v/>
      </c>
      <c r="B64" s="12">
        <f>'📋 Data Entry'!B64</f>
        <v>0</v>
      </c>
      <c r="C64" s="13">
        <f>'📋 Data Entry'!D64</f>
        <v>0</v>
      </c>
      <c r="D64" s="13">
        <f>'📋 Data Entry'!G64</f>
        <v>0</v>
      </c>
      <c r="E64" s="14" t="str">
        <f>IF('📋 Data Entry'!I64="Yes",5,IF('📋 Data Entry'!I64="No",0,""))</f>
        <v/>
      </c>
      <c r="F64" s="14" t="str">
        <f>IF('📋 Data Entry'!K64="Yes",5,IF('📋 Data Entry'!K64="No",0,""))</f>
        <v/>
      </c>
      <c r="G64" s="14" t="str">
        <f>IFERROR(VALUE(LEFT('📋 Data Entry'!M64,FIND(" ",'📋 Data Entry'!M64)-1)),"")</f>
        <v/>
      </c>
      <c r="H64" s="14">
        <f>'📋 Data Entry'!N64</f>
        <v>0</v>
      </c>
      <c r="I64" s="14">
        <f>'📋 Data Entry'!U64</f>
        <v>0</v>
      </c>
      <c r="J64" s="15" t="str">
        <f t="shared" si="2"/>
        <v/>
      </c>
      <c r="K64" s="16" t="str">
        <f t="shared" si="3"/>
        <v/>
      </c>
      <c r="L64" s="17">
        <f>'📋 Data Entry'!O64</f>
        <v>0</v>
      </c>
      <c r="M64" s="17">
        <f>'📋 Data Entry'!P64</f>
        <v>0</v>
      </c>
      <c r="N64" s="17">
        <f>'📋 Data Entry'!Q64</f>
        <v>0</v>
      </c>
    </row>
    <row r="65" spans="1:14" ht="19.5" customHeight="1" x14ac:dyDescent="0.35">
      <c r="A65" s="8" t="str">
        <f>'📋 Data Entry'!A65</f>
        <v/>
      </c>
      <c r="B65" s="9">
        <f>'📋 Data Entry'!B65</f>
        <v>0</v>
      </c>
      <c r="C65" s="10">
        <f>'📋 Data Entry'!D65</f>
        <v>0</v>
      </c>
      <c r="D65" s="10">
        <f>'📋 Data Entry'!G65</f>
        <v>0</v>
      </c>
      <c r="E65" s="18" t="str">
        <f>IF('📋 Data Entry'!I65="Yes",5,IF('📋 Data Entry'!I65="No",0,""))</f>
        <v/>
      </c>
      <c r="F65" s="18" t="str">
        <f>IF('📋 Data Entry'!K65="Yes",5,IF('📋 Data Entry'!K65="No",0,""))</f>
        <v/>
      </c>
      <c r="G65" s="18" t="str">
        <f>IFERROR(VALUE(LEFT('📋 Data Entry'!M65,FIND(" ",'📋 Data Entry'!M65)-1)),"")</f>
        <v/>
      </c>
      <c r="H65" s="18">
        <f>'📋 Data Entry'!N65</f>
        <v>0</v>
      </c>
      <c r="I65" s="18">
        <f>'📋 Data Entry'!U65</f>
        <v>0</v>
      </c>
      <c r="J65" s="15" t="str">
        <f t="shared" si="2"/>
        <v/>
      </c>
      <c r="K65" s="19" t="str">
        <f t="shared" si="3"/>
        <v/>
      </c>
      <c r="L65" s="20">
        <f>'📋 Data Entry'!O65</f>
        <v>0</v>
      </c>
      <c r="M65" s="20">
        <f>'📋 Data Entry'!P65</f>
        <v>0</v>
      </c>
      <c r="N65" s="20">
        <f>'📋 Data Entry'!Q65</f>
        <v>0</v>
      </c>
    </row>
    <row r="66" spans="1:14" ht="19.5" customHeight="1" x14ac:dyDescent="0.35">
      <c r="A66" s="11" t="str">
        <f>'📋 Data Entry'!A66</f>
        <v/>
      </c>
      <c r="B66" s="12">
        <f>'📋 Data Entry'!B66</f>
        <v>0</v>
      </c>
      <c r="C66" s="13">
        <f>'📋 Data Entry'!D66</f>
        <v>0</v>
      </c>
      <c r="D66" s="13">
        <f>'📋 Data Entry'!G66</f>
        <v>0</v>
      </c>
      <c r="E66" s="14" t="str">
        <f>IF('📋 Data Entry'!I66="Yes",5,IF('📋 Data Entry'!I66="No",0,""))</f>
        <v/>
      </c>
      <c r="F66" s="14" t="str">
        <f>IF('📋 Data Entry'!K66="Yes",5,IF('📋 Data Entry'!K66="No",0,""))</f>
        <v/>
      </c>
      <c r="G66" s="14" t="str">
        <f>IFERROR(VALUE(LEFT('📋 Data Entry'!M66,FIND(" ",'📋 Data Entry'!M66)-1)),"")</f>
        <v/>
      </c>
      <c r="H66" s="14">
        <f>'📋 Data Entry'!N66</f>
        <v>0</v>
      </c>
      <c r="I66" s="14">
        <f>'📋 Data Entry'!U66</f>
        <v>0</v>
      </c>
      <c r="J66" s="15" t="str">
        <f t="shared" si="2"/>
        <v/>
      </c>
      <c r="K66" s="16" t="str">
        <f t="shared" si="3"/>
        <v/>
      </c>
      <c r="L66" s="17">
        <f>'📋 Data Entry'!O66</f>
        <v>0</v>
      </c>
      <c r="M66" s="17">
        <f>'📋 Data Entry'!P66</f>
        <v>0</v>
      </c>
      <c r="N66" s="17">
        <f>'📋 Data Entry'!Q66</f>
        <v>0</v>
      </c>
    </row>
    <row r="67" spans="1:14" ht="19.5" customHeight="1" x14ac:dyDescent="0.35">
      <c r="A67" s="8" t="str">
        <f>'📋 Data Entry'!A67</f>
        <v/>
      </c>
      <c r="B67" s="9">
        <f>'📋 Data Entry'!B67</f>
        <v>0</v>
      </c>
      <c r="C67" s="10">
        <f>'📋 Data Entry'!D67</f>
        <v>0</v>
      </c>
      <c r="D67" s="10">
        <f>'📋 Data Entry'!G67</f>
        <v>0</v>
      </c>
      <c r="E67" s="18" t="str">
        <f>IF('📋 Data Entry'!I67="Yes",5,IF('📋 Data Entry'!I67="No",0,""))</f>
        <v/>
      </c>
      <c r="F67" s="18" t="str">
        <f>IF('📋 Data Entry'!K67="Yes",5,IF('📋 Data Entry'!K67="No",0,""))</f>
        <v/>
      </c>
      <c r="G67" s="18" t="str">
        <f>IFERROR(VALUE(LEFT('📋 Data Entry'!M67,FIND(" ",'📋 Data Entry'!M67)-1)),"")</f>
        <v/>
      </c>
      <c r="H67" s="18">
        <f>'📋 Data Entry'!N67</f>
        <v>0</v>
      </c>
      <c r="I67" s="18">
        <f>'📋 Data Entry'!U67</f>
        <v>0</v>
      </c>
      <c r="J67" s="15" t="str">
        <f t="shared" si="2"/>
        <v/>
      </c>
      <c r="K67" s="19" t="str">
        <f t="shared" si="3"/>
        <v/>
      </c>
      <c r="L67" s="20">
        <f>'📋 Data Entry'!O67</f>
        <v>0</v>
      </c>
      <c r="M67" s="20">
        <f>'📋 Data Entry'!P67</f>
        <v>0</v>
      </c>
      <c r="N67" s="20">
        <f>'📋 Data Entry'!Q67</f>
        <v>0</v>
      </c>
    </row>
    <row r="68" spans="1:14" ht="19.5" customHeight="1" x14ac:dyDescent="0.35">
      <c r="A68" s="11" t="str">
        <f>'📋 Data Entry'!A68</f>
        <v/>
      </c>
      <c r="B68" s="12">
        <f>'📋 Data Entry'!B68</f>
        <v>0</v>
      </c>
      <c r="C68" s="13">
        <f>'📋 Data Entry'!D68</f>
        <v>0</v>
      </c>
      <c r="D68" s="13">
        <f>'📋 Data Entry'!G68</f>
        <v>0</v>
      </c>
      <c r="E68" s="14" t="str">
        <f>IF('📋 Data Entry'!I68="Yes",5,IF('📋 Data Entry'!I68="No",0,""))</f>
        <v/>
      </c>
      <c r="F68" s="14" t="str">
        <f>IF('📋 Data Entry'!K68="Yes",5,IF('📋 Data Entry'!K68="No",0,""))</f>
        <v/>
      </c>
      <c r="G68" s="14" t="str">
        <f>IFERROR(VALUE(LEFT('📋 Data Entry'!M68,FIND(" ",'📋 Data Entry'!M68)-1)),"")</f>
        <v/>
      </c>
      <c r="H68" s="14">
        <f>'📋 Data Entry'!N68</f>
        <v>0</v>
      </c>
      <c r="I68" s="14">
        <f>'📋 Data Entry'!U68</f>
        <v>0</v>
      </c>
      <c r="J68" s="15" t="str">
        <f t="shared" si="2"/>
        <v/>
      </c>
      <c r="K68" s="16" t="str">
        <f t="shared" si="3"/>
        <v/>
      </c>
      <c r="L68" s="17">
        <f>'📋 Data Entry'!O68</f>
        <v>0</v>
      </c>
      <c r="M68" s="17">
        <f>'📋 Data Entry'!P68</f>
        <v>0</v>
      </c>
      <c r="N68" s="17">
        <f>'📋 Data Entry'!Q68</f>
        <v>0</v>
      </c>
    </row>
    <row r="69" spans="1:14" ht="19.5" customHeight="1" x14ac:dyDescent="0.35">
      <c r="A69" s="8" t="str">
        <f>'📋 Data Entry'!A69</f>
        <v/>
      </c>
      <c r="B69" s="9">
        <f>'📋 Data Entry'!B69</f>
        <v>0</v>
      </c>
      <c r="C69" s="10">
        <f>'📋 Data Entry'!D69</f>
        <v>0</v>
      </c>
      <c r="D69" s="10">
        <f>'📋 Data Entry'!G69</f>
        <v>0</v>
      </c>
      <c r="E69" s="18" t="str">
        <f>IF('📋 Data Entry'!I69="Yes",5,IF('📋 Data Entry'!I69="No",0,""))</f>
        <v/>
      </c>
      <c r="F69" s="18" t="str">
        <f>IF('📋 Data Entry'!K69="Yes",5,IF('📋 Data Entry'!K69="No",0,""))</f>
        <v/>
      </c>
      <c r="G69" s="18" t="str">
        <f>IFERROR(VALUE(LEFT('📋 Data Entry'!M69,FIND(" ",'📋 Data Entry'!M69)-1)),"")</f>
        <v/>
      </c>
      <c r="H69" s="18">
        <f>'📋 Data Entry'!N69</f>
        <v>0</v>
      </c>
      <c r="I69" s="18">
        <f>'📋 Data Entry'!U69</f>
        <v>0</v>
      </c>
      <c r="J69" s="15" t="str">
        <f t="shared" si="2"/>
        <v/>
      </c>
      <c r="K69" s="19" t="str">
        <f t="shared" si="3"/>
        <v/>
      </c>
      <c r="L69" s="20">
        <f>'📋 Data Entry'!O69</f>
        <v>0</v>
      </c>
      <c r="M69" s="20">
        <f>'📋 Data Entry'!P69</f>
        <v>0</v>
      </c>
      <c r="N69" s="20">
        <f>'📋 Data Entry'!Q69</f>
        <v>0</v>
      </c>
    </row>
    <row r="70" spans="1:14" ht="19.5" customHeight="1" x14ac:dyDescent="0.35">
      <c r="A70" s="11" t="str">
        <f>'📋 Data Entry'!A70</f>
        <v/>
      </c>
      <c r="B70" s="12">
        <f>'📋 Data Entry'!B70</f>
        <v>0</v>
      </c>
      <c r="C70" s="13">
        <f>'📋 Data Entry'!D70</f>
        <v>0</v>
      </c>
      <c r="D70" s="13">
        <f>'📋 Data Entry'!G70</f>
        <v>0</v>
      </c>
      <c r="E70" s="14" t="str">
        <f>IF('📋 Data Entry'!I70="Yes",5,IF('📋 Data Entry'!I70="No",0,""))</f>
        <v/>
      </c>
      <c r="F70" s="14" t="str">
        <f>IF('📋 Data Entry'!K70="Yes",5,IF('📋 Data Entry'!K70="No",0,""))</f>
        <v/>
      </c>
      <c r="G70" s="14" t="str">
        <f>IFERROR(VALUE(LEFT('📋 Data Entry'!M70,FIND(" ",'📋 Data Entry'!M70)-1)),"")</f>
        <v/>
      </c>
      <c r="H70" s="14">
        <f>'📋 Data Entry'!N70</f>
        <v>0</v>
      </c>
      <c r="I70" s="14">
        <f>'📋 Data Entry'!U70</f>
        <v>0</v>
      </c>
      <c r="J70" s="15" t="str">
        <f t="shared" si="2"/>
        <v/>
      </c>
      <c r="K70" s="16" t="str">
        <f t="shared" si="3"/>
        <v/>
      </c>
      <c r="L70" s="17">
        <f>'📋 Data Entry'!O70</f>
        <v>0</v>
      </c>
      <c r="M70" s="17">
        <f>'📋 Data Entry'!P70</f>
        <v>0</v>
      </c>
      <c r="N70" s="17">
        <f>'📋 Data Entry'!Q70</f>
        <v>0</v>
      </c>
    </row>
    <row r="71" spans="1:14" ht="19.5" customHeight="1" x14ac:dyDescent="0.35">
      <c r="A71" s="8" t="str">
        <f>'📋 Data Entry'!A71</f>
        <v/>
      </c>
      <c r="B71" s="9">
        <f>'📋 Data Entry'!B71</f>
        <v>0</v>
      </c>
      <c r="C71" s="10">
        <f>'📋 Data Entry'!D71</f>
        <v>0</v>
      </c>
      <c r="D71" s="10">
        <f>'📋 Data Entry'!G71</f>
        <v>0</v>
      </c>
      <c r="E71" s="18" t="str">
        <f>IF('📋 Data Entry'!I71="Yes",5,IF('📋 Data Entry'!I71="No",0,""))</f>
        <v/>
      </c>
      <c r="F71" s="18" t="str">
        <f>IF('📋 Data Entry'!K71="Yes",5,IF('📋 Data Entry'!K71="No",0,""))</f>
        <v/>
      </c>
      <c r="G71" s="18" t="str">
        <f>IFERROR(VALUE(LEFT('📋 Data Entry'!M71,FIND(" ",'📋 Data Entry'!M71)-1)),"")</f>
        <v/>
      </c>
      <c r="H71" s="18">
        <f>'📋 Data Entry'!N71</f>
        <v>0</v>
      </c>
      <c r="I71" s="18">
        <f>'📋 Data Entry'!U71</f>
        <v>0</v>
      </c>
      <c r="J71" s="15" t="str">
        <f t="shared" si="2"/>
        <v/>
      </c>
      <c r="K71" s="19" t="str">
        <f t="shared" si="3"/>
        <v/>
      </c>
      <c r="L71" s="20">
        <f>'📋 Data Entry'!O71</f>
        <v>0</v>
      </c>
      <c r="M71" s="20">
        <f>'📋 Data Entry'!P71</f>
        <v>0</v>
      </c>
      <c r="N71" s="20">
        <f>'📋 Data Entry'!Q71</f>
        <v>0</v>
      </c>
    </row>
    <row r="72" spans="1:14" ht="19.5" customHeight="1" x14ac:dyDescent="0.35">
      <c r="A72" s="11" t="str">
        <f>'📋 Data Entry'!A72</f>
        <v/>
      </c>
      <c r="B72" s="12">
        <f>'📋 Data Entry'!B72</f>
        <v>0</v>
      </c>
      <c r="C72" s="13">
        <f>'📋 Data Entry'!D72</f>
        <v>0</v>
      </c>
      <c r="D72" s="13">
        <f>'📋 Data Entry'!G72</f>
        <v>0</v>
      </c>
      <c r="E72" s="14" t="str">
        <f>IF('📋 Data Entry'!I72="Yes",5,IF('📋 Data Entry'!I72="No",0,""))</f>
        <v/>
      </c>
      <c r="F72" s="14" t="str">
        <f>IF('📋 Data Entry'!K72="Yes",5,IF('📋 Data Entry'!K72="No",0,""))</f>
        <v/>
      </c>
      <c r="G72" s="14" t="str">
        <f>IFERROR(VALUE(LEFT('📋 Data Entry'!M72,FIND(" ",'📋 Data Entry'!M72)-1)),"")</f>
        <v/>
      </c>
      <c r="H72" s="14">
        <f>'📋 Data Entry'!N72</f>
        <v>0</v>
      </c>
      <c r="I72" s="14">
        <f>'📋 Data Entry'!U72</f>
        <v>0</v>
      </c>
      <c r="J72" s="15" t="str">
        <f t="shared" si="2"/>
        <v/>
      </c>
      <c r="K72" s="16" t="str">
        <f t="shared" si="3"/>
        <v/>
      </c>
      <c r="L72" s="17">
        <f>'📋 Data Entry'!O72</f>
        <v>0</v>
      </c>
      <c r="M72" s="17">
        <f>'📋 Data Entry'!P72</f>
        <v>0</v>
      </c>
      <c r="N72" s="17">
        <f>'📋 Data Entry'!Q72</f>
        <v>0</v>
      </c>
    </row>
    <row r="73" spans="1:14" ht="19.5" customHeight="1" x14ac:dyDescent="0.35">
      <c r="A73" s="8" t="str">
        <f>'📋 Data Entry'!A73</f>
        <v/>
      </c>
      <c r="B73" s="9">
        <f>'📋 Data Entry'!B73</f>
        <v>0</v>
      </c>
      <c r="C73" s="10">
        <f>'📋 Data Entry'!D73</f>
        <v>0</v>
      </c>
      <c r="D73" s="10">
        <f>'📋 Data Entry'!G73</f>
        <v>0</v>
      </c>
      <c r="E73" s="18" t="str">
        <f>IF('📋 Data Entry'!I73="Yes",5,IF('📋 Data Entry'!I73="No",0,""))</f>
        <v/>
      </c>
      <c r="F73" s="18" t="str">
        <f>IF('📋 Data Entry'!K73="Yes",5,IF('📋 Data Entry'!K73="No",0,""))</f>
        <v/>
      </c>
      <c r="G73" s="18" t="str">
        <f>IFERROR(VALUE(LEFT('📋 Data Entry'!M73,FIND(" ",'📋 Data Entry'!M73)-1)),"")</f>
        <v/>
      </c>
      <c r="H73" s="18">
        <f>'📋 Data Entry'!N73</f>
        <v>0</v>
      </c>
      <c r="I73" s="18">
        <f>'📋 Data Entry'!U73</f>
        <v>0</v>
      </c>
      <c r="J73" s="15" t="str">
        <f t="shared" si="2"/>
        <v/>
      </c>
      <c r="K73" s="19" t="str">
        <f t="shared" si="3"/>
        <v/>
      </c>
      <c r="L73" s="20">
        <f>'📋 Data Entry'!O73</f>
        <v>0</v>
      </c>
      <c r="M73" s="20">
        <f>'📋 Data Entry'!P73</f>
        <v>0</v>
      </c>
      <c r="N73" s="20">
        <f>'📋 Data Entry'!Q73</f>
        <v>0</v>
      </c>
    </row>
    <row r="74" spans="1:14" ht="19.5" customHeight="1" x14ac:dyDescent="0.35">
      <c r="A74" s="11" t="str">
        <f>'📋 Data Entry'!A74</f>
        <v/>
      </c>
      <c r="B74" s="12">
        <f>'📋 Data Entry'!B74</f>
        <v>0</v>
      </c>
      <c r="C74" s="13">
        <f>'📋 Data Entry'!D74</f>
        <v>0</v>
      </c>
      <c r="D74" s="13">
        <f>'📋 Data Entry'!G74</f>
        <v>0</v>
      </c>
      <c r="E74" s="14" t="str">
        <f>IF('📋 Data Entry'!I74="Yes",5,IF('📋 Data Entry'!I74="No",0,""))</f>
        <v/>
      </c>
      <c r="F74" s="14" t="str">
        <f>IF('📋 Data Entry'!K74="Yes",5,IF('📋 Data Entry'!K74="No",0,""))</f>
        <v/>
      </c>
      <c r="G74" s="14" t="str">
        <f>IFERROR(VALUE(LEFT('📋 Data Entry'!M74,FIND(" ",'📋 Data Entry'!M74)-1)),"")</f>
        <v/>
      </c>
      <c r="H74" s="14">
        <f>'📋 Data Entry'!N74</f>
        <v>0</v>
      </c>
      <c r="I74" s="14">
        <f>'📋 Data Entry'!U74</f>
        <v>0</v>
      </c>
      <c r="J74" s="15" t="str">
        <f t="shared" si="2"/>
        <v/>
      </c>
      <c r="K74" s="16" t="str">
        <f t="shared" si="3"/>
        <v/>
      </c>
      <c r="L74" s="17">
        <f>'📋 Data Entry'!O74</f>
        <v>0</v>
      </c>
      <c r="M74" s="17">
        <f>'📋 Data Entry'!P74</f>
        <v>0</v>
      </c>
      <c r="N74" s="17">
        <f>'📋 Data Entry'!Q74</f>
        <v>0</v>
      </c>
    </row>
    <row r="75" spans="1:14" ht="19.5" customHeight="1" x14ac:dyDescent="0.35">
      <c r="A75" s="8" t="str">
        <f>'📋 Data Entry'!A75</f>
        <v/>
      </c>
      <c r="B75" s="9">
        <f>'📋 Data Entry'!B75</f>
        <v>0</v>
      </c>
      <c r="C75" s="10">
        <f>'📋 Data Entry'!D75</f>
        <v>0</v>
      </c>
      <c r="D75" s="10">
        <f>'📋 Data Entry'!G75</f>
        <v>0</v>
      </c>
      <c r="E75" s="18" t="str">
        <f>IF('📋 Data Entry'!I75="Yes",5,IF('📋 Data Entry'!I75="No",0,""))</f>
        <v/>
      </c>
      <c r="F75" s="18" t="str">
        <f>IF('📋 Data Entry'!K75="Yes",5,IF('📋 Data Entry'!K75="No",0,""))</f>
        <v/>
      </c>
      <c r="G75" s="18" t="str">
        <f>IFERROR(VALUE(LEFT('📋 Data Entry'!M75,FIND(" ",'📋 Data Entry'!M75)-1)),"")</f>
        <v/>
      </c>
      <c r="H75" s="18">
        <f>'📋 Data Entry'!N75</f>
        <v>0</v>
      </c>
      <c r="I75" s="18">
        <f>'📋 Data Entry'!U75</f>
        <v>0</v>
      </c>
      <c r="J75" s="15" t="str">
        <f t="shared" si="2"/>
        <v/>
      </c>
      <c r="K75" s="19" t="str">
        <f t="shared" si="3"/>
        <v/>
      </c>
      <c r="L75" s="20">
        <f>'📋 Data Entry'!O75</f>
        <v>0</v>
      </c>
      <c r="M75" s="20">
        <f>'📋 Data Entry'!P75</f>
        <v>0</v>
      </c>
      <c r="N75" s="20">
        <f>'📋 Data Entry'!Q75</f>
        <v>0</v>
      </c>
    </row>
    <row r="76" spans="1:14" ht="19.5" customHeight="1" x14ac:dyDescent="0.35">
      <c r="A76" s="11" t="str">
        <f>'📋 Data Entry'!A76</f>
        <v/>
      </c>
      <c r="B76" s="12">
        <f>'📋 Data Entry'!B76</f>
        <v>0</v>
      </c>
      <c r="C76" s="13">
        <f>'📋 Data Entry'!D76</f>
        <v>0</v>
      </c>
      <c r="D76" s="13">
        <f>'📋 Data Entry'!G76</f>
        <v>0</v>
      </c>
      <c r="E76" s="14" t="str">
        <f>IF('📋 Data Entry'!I76="Yes",5,IF('📋 Data Entry'!I76="No",0,""))</f>
        <v/>
      </c>
      <c r="F76" s="14" t="str">
        <f>IF('📋 Data Entry'!K76="Yes",5,IF('📋 Data Entry'!K76="No",0,""))</f>
        <v/>
      </c>
      <c r="G76" s="14" t="str">
        <f>IFERROR(VALUE(LEFT('📋 Data Entry'!M76,FIND(" ",'📋 Data Entry'!M76)-1)),"")</f>
        <v/>
      </c>
      <c r="H76" s="14">
        <f>'📋 Data Entry'!N76</f>
        <v>0</v>
      </c>
      <c r="I76" s="14">
        <f>'📋 Data Entry'!U76</f>
        <v>0</v>
      </c>
      <c r="J76" s="15" t="str">
        <f t="shared" ref="J76:J104" si="4">IFERROR(ROUND((E76/5*25)+(F76/5*20)+(G76/5*25)+(H76/5*15)+(I76/5*15),1),"")</f>
        <v/>
      </c>
      <c r="K76" s="16" t="str">
        <f t="shared" ref="K76:K104" si="5">IF(J76="","",IF(J76&gt;=80,"Excellent",IF(J76&gt;=65,"Good",IF(J76&gt;=50,"Average","Weak"))))</f>
        <v/>
      </c>
      <c r="L76" s="17">
        <f>'📋 Data Entry'!O76</f>
        <v>0</v>
      </c>
      <c r="M76" s="17">
        <f>'📋 Data Entry'!P76</f>
        <v>0</v>
      </c>
      <c r="N76" s="17">
        <f>'📋 Data Entry'!Q76</f>
        <v>0</v>
      </c>
    </row>
    <row r="77" spans="1:14" ht="19.5" customHeight="1" x14ac:dyDescent="0.35">
      <c r="A77" s="8" t="str">
        <f>'📋 Data Entry'!A77</f>
        <v/>
      </c>
      <c r="B77" s="9">
        <f>'📋 Data Entry'!B77</f>
        <v>0</v>
      </c>
      <c r="C77" s="10">
        <f>'📋 Data Entry'!D77</f>
        <v>0</v>
      </c>
      <c r="D77" s="10">
        <f>'📋 Data Entry'!G77</f>
        <v>0</v>
      </c>
      <c r="E77" s="18" t="str">
        <f>IF('📋 Data Entry'!I77="Yes",5,IF('📋 Data Entry'!I77="No",0,""))</f>
        <v/>
      </c>
      <c r="F77" s="18" t="str">
        <f>IF('📋 Data Entry'!K77="Yes",5,IF('📋 Data Entry'!K77="No",0,""))</f>
        <v/>
      </c>
      <c r="G77" s="18" t="str">
        <f>IFERROR(VALUE(LEFT('📋 Data Entry'!M77,FIND(" ",'📋 Data Entry'!M77)-1)),"")</f>
        <v/>
      </c>
      <c r="H77" s="18">
        <f>'📋 Data Entry'!N77</f>
        <v>0</v>
      </c>
      <c r="I77" s="18">
        <f>'📋 Data Entry'!U77</f>
        <v>0</v>
      </c>
      <c r="J77" s="15" t="str">
        <f t="shared" si="4"/>
        <v/>
      </c>
      <c r="K77" s="19" t="str">
        <f t="shared" si="5"/>
        <v/>
      </c>
      <c r="L77" s="20">
        <f>'📋 Data Entry'!O77</f>
        <v>0</v>
      </c>
      <c r="M77" s="20">
        <f>'📋 Data Entry'!P77</f>
        <v>0</v>
      </c>
      <c r="N77" s="20">
        <f>'📋 Data Entry'!Q77</f>
        <v>0</v>
      </c>
    </row>
    <row r="78" spans="1:14" ht="19.5" customHeight="1" x14ac:dyDescent="0.35">
      <c r="A78" s="11" t="str">
        <f>'📋 Data Entry'!A78</f>
        <v/>
      </c>
      <c r="B78" s="12">
        <f>'📋 Data Entry'!B78</f>
        <v>0</v>
      </c>
      <c r="C78" s="13">
        <f>'📋 Data Entry'!D78</f>
        <v>0</v>
      </c>
      <c r="D78" s="13">
        <f>'📋 Data Entry'!G78</f>
        <v>0</v>
      </c>
      <c r="E78" s="14" t="str">
        <f>IF('📋 Data Entry'!I78="Yes",5,IF('📋 Data Entry'!I78="No",0,""))</f>
        <v/>
      </c>
      <c r="F78" s="14" t="str">
        <f>IF('📋 Data Entry'!K78="Yes",5,IF('📋 Data Entry'!K78="No",0,""))</f>
        <v/>
      </c>
      <c r="G78" s="14" t="str">
        <f>IFERROR(VALUE(LEFT('📋 Data Entry'!M78,FIND(" ",'📋 Data Entry'!M78)-1)),"")</f>
        <v/>
      </c>
      <c r="H78" s="14">
        <f>'📋 Data Entry'!N78</f>
        <v>0</v>
      </c>
      <c r="I78" s="14">
        <f>'📋 Data Entry'!U78</f>
        <v>0</v>
      </c>
      <c r="J78" s="15" t="str">
        <f t="shared" si="4"/>
        <v/>
      </c>
      <c r="K78" s="16" t="str">
        <f t="shared" si="5"/>
        <v/>
      </c>
      <c r="L78" s="17">
        <f>'📋 Data Entry'!O78</f>
        <v>0</v>
      </c>
      <c r="M78" s="17">
        <f>'📋 Data Entry'!P78</f>
        <v>0</v>
      </c>
      <c r="N78" s="17">
        <f>'📋 Data Entry'!Q78</f>
        <v>0</v>
      </c>
    </row>
    <row r="79" spans="1:14" ht="19.5" customHeight="1" x14ac:dyDescent="0.35">
      <c r="A79" s="8" t="str">
        <f>'📋 Data Entry'!A79</f>
        <v/>
      </c>
      <c r="B79" s="9">
        <f>'📋 Data Entry'!B79</f>
        <v>0</v>
      </c>
      <c r="C79" s="10">
        <f>'📋 Data Entry'!D79</f>
        <v>0</v>
      </c>
      <c r="D79" s="10">
        <f>'📋 Data Entry'!G79</f>
        <v>0</v>
      </c>
      <c r="E79" s="18" t="str">
        <f>IF('📋 Data Entry'!I79="Yes",5,IF('📋 Data Entry'!I79="No",0,""))</f>
        <v/>
      </c>
      <c r="F79" s="18" t="str">
        <f>IF('📋 Data Entry'!K79="Yes",5,IF('📋 Data Entry'!K79="No",0,""))</f>
        <v/>
      </c>
      <c r="G79" s="18" t="str">
        <f>IFERROR(VALUE(LEFT('📋 Data Entry'!M79,FIND(" ",'📋 Data Entry'!M79)-1)),"")</f>
        <v/>
      </c>
      <c r="H79" s="18">
        <f>'📋 Data Entry'!N79</f>
        <v>0</v>
      </c>
      <c r="I79" s="18">
        <f>'📋 Data Entry'!U79</f>
        <v>0</v>
      </c>
      <c r="J79" s="15" t="str">
        <f t="shared" si="4"/>
        <v/>
      </c>
      <c r="K79" s="19" t="str">
        <f t="shared" si="5"/>
        <v/>
      </c>
      <c r="L79" s="20">
        <f>'📋 Data Entry'!O79</f>
        <v>0</v>
      </c>
      <c r="M79" s="20">
        <f>'📋 Data Entry'!P79</f>
        <v>0</v>
      </c>
      <c r="N79" s="20">
        <f>'📋 Data Entry'!Q79</f>
        <v>0</v>
      </c>
    </row>
    <row r="80" spans="1:14" ht="19.5" customHeight="1" x14ac:dyDescent="0.35">
      <c r="A80" s="11" t="str">
        <f>'📋 Data Entry'!A80</f>
        <v/>
      </c>
      <c r="B80" s="12">
        <f>'📋 Data Entry'!B80</f>
        <v>0</v>
      </c>
      <c r="C80" s="13">
        <f>'📋 Data Entry'!D80</f>
        <v>0</v>
      </c>
      <c r="D80" s="13">
        <f>'📋 Data Entry'!G80</f>
        <v>0</v>
      </c>
      <c r="E80" s="14" t="str">
        <f>IF('📋 Data Entry'!I80="Yes",5,IF('📋 Data Entry'!I80="No",0,""))</f>
        <v/>
      </c>
      <c r="F80" s="14" t="str">
        <f>IF('📋 Data Entry'!K80="Yes",5,IF('📋 Data Entry'!K80="No",0,""))</f>
        <v/>
      </c>
      <c r="G80" s="14" t="str">
        <f>IFERROR(VALUE(LEFT('📋 Data Entry'!M80,FIND(" ",'📋 Data Entry'!M80)-1)),"")</f>
        <v/>
      </c>
      <c r="H80" s="14">
        <f>'📋 Data Entry'!N80</f>
        <v>0</v>
      </c>
      <c r="I80" s="14">
        <f>'📋 Data Entry'!U80</f>
        <v>0</v>
      </c>
      <c r="J80" s="15" t="str">
        <f t="shared" si="4"/>
        <v/>
      </c>
      <c r="K80" s="16" t="str">
        <f t="shared" si="5"/>
        <v/>
      </c>
      <c r="L80" s="17">
        <f>'📋 Data Entry'!O80</f>
        <v>0</v>
      </c>
      <c r="M80" s="17">
        <f>'📋 Data Entry'!P80</f>
        <v>0</v>
      </c>
      <c r="N80" s="17">
        <f>'📋 Data Entry'!Q80</f>
        <v>0</v>
      </c>
    </row>
    <row r="81" spans="1:14" ht="19.5" customHeight="1" x14ac:dyDescent="0.35">
      <c r="A81" s="8" t="str">
        <f>'📋 Data Entry'!A81</f>
        <v/>
      </c>
      <c r="B81" s="9">
        <f>'📋 Data Entry'!B81</f>
        <v>0</v>
      </c>
      <c r="C81" s="10">
        <f>'📋 Data Entry'!D81</f>
        <v>0</v>
      </c>
      <c r="D81" s="10">
        <f>'📋 Data Entry'!G81</f>
        <v>0</v>
      </c>
      <c r="E81" s="18" t="str">
        <f>IF('📋 Data Entry'!I81="Yes",5,IF('📋 Data Entry'!I81="No",0,""))</f>
        <v/>
      </c>
      <c r="F81" s="18" t="str">
        <f>IF('📋 Data Entry'!K81="Yes",5,IF('📋 Data Entry'!K81="No",0,""))</f>
        <v/>
      </c>
      <c r="G81" s="18" t="str">
        <f>IFERROR(VALUE(LEFT('📋 Data Entry'!M81,FIND(" ",'📋 Data Entry'!M81)-1)),"")</f>
        <v/>
      </c>
      <c r="H81" s="18">
        <f>'📋 Data Entry'!N81</f>
        <v>0</v>
      </c>
      <c r="I81" s="18">
        <f>'📋 Data Entry'!U81</f>
        <v>0</v>
      </c>
      <c r="J81" s="15" t="str">
        <f t="shared" si="4"/>
        <v/>
      </c>
      <c r="K81" s="19" t="str">
        <f t="shared" si="5"/>
        <v/>
      </c>
      <c r="L81" s="20">
        <f>'📋 Data Entry'!O81</f>
        <v>0</v>
      </c>
      <c r="M81" s="20">
        <f>'📋 Data Entry'!P81</f>
        <v>0</v>
      </c>
      <c r="N81" s="20">
        <f>'📋 Data Entry'!Q81</f>
        <v>0</v>
      </c>
    </row>
    <row r="82" spans="1:14" ht="19.5" customHeight="1" x14ac:dyDescent="0.35">
      <c r="A82" s="11" t="str">
        <f>'📋 Data Entry'!A82</f>
        <v/>
      </c>
      <c r="B82" s="12">
        <f>'📋 Data Entry'!B82</f>
        <v>0</v>
      </c>
      <c r="C82" s="13">
        <f>'📋 Data Entry'!D82</f>
        <v>0</v>
      </c>
      <c r="D82" s="13">
        <f>'📋 Data Entry'!G82</f>
        <v>0</v>
      </c>
      <c r="E82" s="14" t="str">
        <f>IF('📋 Data Entry'!I82="Yes",5,IF('📋 Data Entry'!I82="No",0,""))</f>
        <v/>
      </c>
      <c r="F82" s="14" t="str">
        <f>IF('📋 Data Entry'!K82="Yes",5,IF('📋 Data Entry'!K82="No",0,""))</f>
        <v/>
      </c>
      <c r="G82" s="14" t="str">
        <f>IFERROR(VALUE(LEFT('📋 Data Entry'!M82,FIND(" ",'📋 Data Entry'!M82)-1)),"")</f>
        <v/>
      </c>
      <c r="H82" s="14">
        <f>'📋 Data Entry'!N82</f>
        <v>0</v>
      </c>
      <c r="I82" s="14">
        <f>'📋 Data Entry'!U82</f>
        <v>0</v>
      </c>
      <c r="J82" s="15" t="str">
        <f t="shared" si="4"/>
        <v/>
      </c>
      <c r="K82" s="16" t="str">
        <f t="shared" si="5"/>
        <v/>
      </c>
      <c r="L82" s="17">
        <f>'📋 Data Entry'!O82</f>
        <v>0</v>
      </c>
      <c r="M82" s="17">
        <f>'📋 Data Entry'!P82</f>
        <v>0</v>
      </c>
      <c r="N82" s="17">
        <f>'📋 Data Entry'!Q82</f>
        <v>0</v>
      </c>
    </row>
    <row r="83" spans="1:14" ht="19.5" customHeight="1" x14ac:dyDescent="0.35">
      <c r="A83" s="8" t="str">
        <f>'📋 Data Entry'!A83</f>
        <v/>
      </c>
      <c r="B83" s="9">
        <f>'📋 Data Entry'!B83</f>
        <v>0</v>
      </c>
      <c r="C83" s="10">
        <f>'📋 Data Entry'!D83</f>
        <v>0</v>
      </c>
      <c r="D83" s="10">
        <f>'📋 Data Entry'!G83</f>
        <v>0</v>
      </c>
      <c r="E83" s="18" t="str">
        <f>IF('📋 Data Entry'!I83="Yes",5,IF('📋 Data Entry'!I83="No",0,""))</f>
        <v/>
      </c>
      <c r="F83" s="18" t="str">
        <f>IF('📋 Data Entry'!K83="Yes",5,IF('📋 Data Entry'!K83="No",0,""))</f>
        <v/>
      </c>
      <c r="G83" s="18" t="str">
        <f>IFERROR(VALUE(LEFT('📋 Data Entry'!M83,FIND(" ",'📋 Data Entry'!M83)-1)),"")</f>
        <v/>
      </c>
      <c r="H83" s="18">
        <f>'📋 Data Entry'!N83</f>
        <v>0</v>
      </c>
      <c r="I83" s="18">
        <f>'📋 Data Entry'!U83</f>
        <v>0</v>
      </c>
      <c r="J83" s="15" t="str">
        <f t="shared" si="4"/>
        <v/>
      </c>
      <c r="K83" s="19" t="str">
        <f t="shared" si="5"/>
        <v/>
      </c>
      <c r="L83" s="20">
        <f>'📋 Data Entry'!O83</f>
        <v>0</v>
      </c>
      <c r="M83" s="20">
        <f>'📋 Data Entry'!P83</f>
        <v>0</v>
      </c>
      <c r="N83" s="20">
        <f>'📋 Data Entry'!Q83</f>
        <v>0</v>
      </c>
    </row>
    <row r="84" spans="1:14" ht="19.5" customHeight="1" x14ac:dyDescent="0.35">
      <c r="A84" s="11" t="str">
        <f>'📋 Data Entry'!A84</f>
        <v/>
      </c>
      <c r="B84" s="12">
        <f>'📋 Data Entry'!B84</f>
        <v>0</v>
      </c>
      <c r="C84" s="13">
        <f>'📋 Data Entry'!D84</f>
        <v>0</v>
      </c>
      <c r="D84" s="13">
        <f>'📋 Data Entry'!G84</f>
        <v>0</v>
      </c>
      <c r="E84" s="14" t="str">
        <f>IF('📋 Data Entry'!I84="Yes",5,IF('📋 Data Entry'!I84="No",0,""))</f>
        <v/>
      </c>
      <c r="F84" s="14" t="str">
        <f>IF('📋 Data Entry'!K84="Yes",5,IF('📋 Data Entry'!K84="No",0,""))</f>
        <v/>
      </c>
      <c r="G84" s="14" t="str">
        <f>IFERROR(VALUE(LEFT('📋 Data Entry'!M84,FIND(" ",'📋 Data Entry'!M84)-1)),"")</f>
        <v/>
      </c>
      <c r="H84" s="14">
        <f>'📋 Data Entry'!N84</f>
        <v>0</v>
      </c>
      <c r="I84" s="14">
        <f>'📋 Data Entry'!U84</f>
        <v>0</v>
      </c>
      <c r="J84" s="15" t="str">
        <f t="shared" si="4"/>
        <v/>
      </c>
      <c r="K84" s="16" t="str">
        <f t="shared" si="5"/>
        <v/>
      </c>
      <c r="L84" s="17">
        <f>'📋 Data Entry'!O84</f>
        <v>0</v>
      </c>
      <c r="M84" s="17">
        <f>'📋 Data Entry'!P84</f>
        <v>0</v>
      </c>
      <c r="N84" s="17">
        <f>'📋 Data Entry'!Q84</f>
        <v>0</v>
      </c>
    </row>
    <row r="85" spans="1:14" ht="19.5" customHeight="1" x14ac:dyDescent="0.35">
      <c r="A85" s="8" t="str">
        <f>'📋 Data Entry'!A85</f>
        <v/>
      </c>
      <c r="B85" s="9">
        <f>'📋 Data Entry'!B85</f>
        <v>0</v>
      </c>
      <c r="C85" s="10">
        <f>'📋 Data Entry'!D85</f>
        <v>0</v>
      </c>
      <c r="D85" s="10">
        <f>'📋 Data Entry'!G85</f>
        <v>0</v>
      </c>
      <c r="E85" s="18" t="str">
        <f>IF('📋 Data Entry'!I85="Yes",5,IF('📋 Data Entry'!I85="No",0,""))</f>
        <v/>
      </c>
      <c r="F85" s="18" t="str">
        <f>IF('📋 Data Entry'!K85="Yes",5,IF('📋 Data Entry'!K85="No",0,""))</f>
        <v/>
      </c>
      <c r="G85" s="18" t="str">
        <f>IFERROR(VALUE(LEFT('📋 Data Entry'!M85,FIND(" ",'📋 Data Entry'!M85)-1)),"")</f>
        <v/>
      </c>
      <c r="H85" s="18">
        <f>'📋 Data Entry'!N85</f>
        <v>0</v>
      </c>
      <c r="I85" s="18">
        <f>'📋 Data Entry'!U85</f>
        <v>0</v>
      </c>
      <c r="J85" s="15" t="str">
        <f t="shared" si="4"/>
        <v/>
      </c>
      <c r="K85" s="19" t="str">
        <f t="shared" si="5"/>
        <v/>
      </c>
      <c r="L85" s="20">
        <f>'📋 Data Entry'!O85</f>
        <v>0</v>
      </c>
      <c r="M85" s="20">
        <f>'📋 Data Entry'!P85</f>
        <v>0</v>
      </c>
      <c r="N85" s="20">
        <f>'📋 Data Entry'!Q85</f>
        <v>0</v>
      </c>
    </row>
    <row r="86" spans="1:14" ht="19.5" customHeight="1" x14ac:dyDescent="0.35">
      <c r="A86" s="11" t="str">
        <f>'📋 Data Entry'!A86</f>
        <v/>
      </c>
      <c r="B86" s="12">
        <f>'📋 Data Entry'!B86</f>
        <v>0</v>
      </c>
      <c r="C86" s="13">
        <f>'📋 Data Entry'!D86</f>
        <v>0</v>
      </c>
      <c r="D86" s="13">
        <f>'📋 Data Entry'!G86</f>
        <v>0</v>
      </c>
      <c r="E86" s="14" t="str">
        <f>IF('📋 Data Entry'!I86="Yes",5,IF('📋 Data Entry'!I86="No",0,""))</f>
        <v/>
      </c>
      <c r="F86" s="14" t="str">
        <f>IF('📋 Data Entry'!K86="Yes",5,IF('📋 Data Entry'!K86="No",0,""))</f>
        <v/>
      </c>
      <c r="G86" s="14" t="str">
        <f>IFERROR(VALUE(LEFT('📋 Data Entry'!M86,FIND(" ",'📋 Data Entry'!M86)-1)),"")</f>
        <v/>
      </c>
      <c r="H86" s="14">
        <f>'📋 Data Entry'!N86</f>
        <v>0</v>
      </c>
      <c r="I86" s="14">
        <f>'📋 Data Entry'!U86</f>
        <v>0</v>
      </c>
      <c r="J86" s="15" t="str">
        <f t="shared" si="4"/>
        <v/>
      </c>
      <c r="K86" s="16" t="str">
        <f t="shared" si="5"/>
        <v/>
      </c>
      <c r="L86" s="17">
        <f>'📋 Data Entry'!O86</f>
        <v>0</v>
      </c>
      <c r="M86" s="17">
        <f>'📋 Data Entry'!P86</f>
        <v>0</v>
      </c>
      <c r="N86" s="17">
        <f>'📋 Data Entry'!Q86</f>
        <v>0</v>
      </c>
    </row>
    <row r="87" spans="1:14" ht="19.5" customHeight="1" x14ac:dyDescent="0.35">
      <c r="A87" s="8" t="str">
        <f>'📋 Data Entry'!A87</f>
        <v/>
      </c>
      <c r="B87" s="9">
        <f>'📋 Data Entry'!B87</f>
        <v>0</v>
      </c>
      <c r="C87" s="10">
        <f>'📋 Data Entry'!D87</f>
        <v>0</v>
      </c>
      <c r="D87" s="10">
        <f>'📋 Data Entry'!G87</f>
        <v>0</v>
      </c>
      <c r="E87" s="18" t="str">
        <f>IF('📋 Data Entry'!I87="Yes",5,IF('📋 Data Entry'!I87="No",0,""))</f>
        <v/>
      </c>
      <c r="F87" s="18" t="str">
        <f>IF('📋 Data Entry'!K87="Yes",5,IF('📋 Data Entry'!K87="No",0,""))</f>
        <v/>
      </c>
      <c r="G87" s="18" t="str">
        <f>IFERROR(VALUE(LEFT('📋 Data Entry'!M87,FIND(" ",'📋 Data Entry'!M87)-1)),"")</f>
        <v/>
      </c>
      <c r="H87" s="18">
        <f>'📋 Data Entry'!N87</f>
        <v>0</v>
      </c>
      <c r="I87" s="18">
        <f>'📋 Data Entry'!U87</f>
        <v>0</v>
      </c>
      <c r="J87" s="15" t="str">
        <f t="shared" si="4"/>
        <v/>
      </c>
      <c r="K87" s="19" t="str">
        <f t="shared" si="5"/>
        <v/>
      </c>
      <c r="L87" s="20">
        <f>'📋 Data Entry'!O87</f>
        <v>0</v>
      </c>
      <c r="M87" s="20">
        <f>'📋 Data Entry'!P87</f>
        <v>0</v>
      </c>
      <c r="N87" s="20">
        <f>'📋 Data Entry'!Q87</f>
        <v>0</v>
      </c>
    </row>
    <row r="88" spans="1:14" ht="19.5" customHeight="1" x14ac:dyDescent="0.35">
      <c r="A88" s="11" t="str">
        <f>'📋 Data Entry'!A88</f>
        <v/>
      </c>
      <c r="B88" s="12">
        <f>'📋 Data Entry'!B88</f>
        <v>0</v>
      </c>
      <c r="C88" s="13">
        <f>'📋 Data Entry'!D88</f>
        <v>0</v>
      </c>
      <c r="D88" s="13">
        <f>'📋 Data Entry'!G88</f>
        <v>0</v>
      </c>
      <c r="E88" s="14" t="str">
        <f>IF('📋 Data Entry'!I88="Yes",5,IF('📋 Data Entry'!I88="No",0,""))</f>
        <v/>
      </c>
      <c r="F88" s="14" t="str">
        <f>IF('📋 Data Entry'!K88="Yes",5,IF('📋 Data Entry'!K88="No",0,""))</f>
        <v/>
      </c>
      <c r="G88" s="14" t="str">
        <f>IFERROR(VALUE(LEFT('📋 Data Entry'!M88,FIND(" ",'📋 Data Entry'!M88)-1)),"")</f>
        <v/>
      </c>
      <c r="H88" s="14">
        <f>'📋 Data Entry'!N88</f>
        <v>0</v>
      </c>
      <c r="I88" s="14">
        <f>'📋 Data Entry'!U88</f>
        <v>0</v>
      </c>
      <c r="J88" s="15" t="str">
        <f t="shared" si="4"/>
        <v/>
      </c>
      <c r="K88" s="16" t="str">
        <f t="shared" si="5"/>
        <v/>
      </c>
      <c r="L88" s="17">
        <f>'📋 Data Entry'!O88</f>
        <v>0</v>
      </c>
      <c r="M88" s="17">
        <f>'📋 Data Entry'!P88</f>
        <v>0</v>
      </c>
      <c r="N88" s="17">
        <f>'📋 Data Entry'!Q88</f>
        <v>0</v>
      </c>
    </row>
    <row r="89" spans="1:14" ht="19.5" customHeight="1" x14ac:dyDescent="0.35">
      <c r="A89" s="8" t="str">
        <f>'📋 Data Entry'!A89</f>
        <v/>
      </c>
      <c r="B89" s="9">
        <f>'📋 Data Entry'!B89</f>
        <v>0</v>
      </c>
      <c r="C89" s="10">
        <f>'📋 Data Entry'!D89</f>
        <v>0</v>
      </c>
      <c r="D89" s="10">
        <f>'📋 Data Entry'!G89</f>
        <v>0</v>
      </c>
      <c r="E89" s="18" t="str">
        <f>IF('📋 Data Entry'!I89="Yes",5,IF('📋 Data Entry'!I89="No",0,""))</f>
        <v/>
      </c>
      <c r="F89" s="18" t="str">
        <f>IF('📋 Data Entry'!K89="Yes",5,IF('📋 Data Entry'!K89="No",0,""))</f>
        <v/>
      </c>
      <c r="G89" s="18" t="str">
        <f>IFERROR(VALUE(LEFT('📋 Data Entry'!M89,FIND(" ",'📋 Data Entry'!M89)-1)),"")</f>
        <v/>
      </c>
      <c r="H89" s="18">
        <f>'📋 Data Entry'!N89</f>
        <v>0</v>
      </c>
      <c r="I89" s="18">
        <f>'📋 Data Entry'!U89</f>
        <v>0</v>
      </c>
      <c r="J89" s="15" t="str">
        <f t="shared" si="4"/>
        <v/>
      </c>
      <c r="K89" s="19" t="str">
        <f t="shared" si="5"/>
        <v/>
      </c>
      <c r="L89" s="20">
        <f>'📋 Data Entry'!O89</f>
        <v>0</v>
      </c>
      <c r="M89" s="20">
        <f>'📋 Data Entry'!P89</f>
        <v>0</v>
      </c>
      <c r="N89" s="20">
        <f>'📋 Data Entry'!Q89</f>
        <v>0</v>
      </c>
    </row>
    <row r="90" spans="1:14" ht="19.5" customHeight="1" x14ac:dyDescent="0.35">
      <c r="A90" s="11" t="str">
        <f>'📋 Data Entry'!A90</f>
        <v/>
      </c>
      <c r="B90" s="12">
        <f>'📋 Data Entry'!B90</f>
        <v>0</v>
      </c>
      <c r="C90" s="13">
        <f>'📋 Data Entry'!D90</f>
        <v>0</v>
      </c>
      <c r="D90" s="13">
        <f>'📋 Data Entry'!G90</f>
        <v>0</v>
      </c>
      <c r="E90" s="14" t="str">
        <f>IF('📋 Data Entry'!I90="Yes",5,IF('📋 Data Entry'!I90="No",0,""))</f>
        <v/>
      </c>
      <c r="F90" s="14" t="str">
        <f>IF('📋 Data Entry'!K90="Yes",5,IF('📋 Data Entry'!K90="No",0,""))</f>
        <v/>
      </c>
      <c r="G90" s="14" t="str">
        <f>IFERROR(VALUE(LEFT('📋 Data Entry'!M90,FIND(" ",'📋 Data Entry'!M90)-1)),"")</f>
        <v/>
      </c>
      <c r="H90" s="14">
        <f>'📋 Data Entry'!N90</f>
        <v>0</v>
      </c>
      <c r="I90" s="14">
        <f>'📋 Data Entry'!U90</f>
        <v>0</v>
      </c>
      <c r="J90" s="15" t="str">
        <f t="shared" si="4"/>
        <v/>
      </c>
      <c r="K90" s="16" t="str">
        <f t="shared" si="5"/>
        <v/>
      </c>
      <c r="L90" s="17">
        <f>'📋 Data Entry'!O90</f>
        <v>0</v>
      </c>
      <c r="M90" s="17">
        <f>'📋 Data Entry'!P90</f>
        <v>0</v>
      </c>
      <c r="N90" s="17">
        <f>'📋 Data Entry'!Q90</f>
        <v>0</v>
      </c>
    </row>
    <row r="91" spans="1:14" ht="19.5" customHeight="1" x14ac:dyDescent="0.35">
      <c r="A91" s="8" t="str">
        <f>'📋 Data Entry'!A91</f>
        <v/>
      </c>
      <c r="B91" s="9">
        <f>'📋 Data Entry'!B91</f>
        <v>0</v>
      </c>
      <c r="C91" s="10">
        <f>'📋 Data Entry'!D91</f>
        <v>0</v>
      </c>
      <c r="D91" s="10">
        <f>'📋 Data Entry'!G91</f>
        <v>0</v>
      </c>
      <c r="E91" s="18" t="str">
        <f>IF('📋 Data Entry'!I91="Yes",5,IF('📋 Data Entry'!I91="No",0,""))</f>
        <v/>
      </c>
      <c r="F91" s="18" t="str">
        <f>IF('📋 Data Entry'!K91="Yes",5,IF('📋 Data Entry'!K91="No",0,""))</f>
        <v/>
      </c>
      <c r="G91" s="18" t="str">
        <f>IFERROR(VALUE(LEFT('📋 Data Entry'!M91,FIND(" ",'📋 Data Entry'!M91)-1)),"")</f>
        <v/>
      </c>
      <c r="H91" s="18">
        <f>'📋 Data Entry'!N91</f>
        <v>0</v>
      </c>
      <c r="I91" s="18">
        <f>'📋 Data Entry'!U91</f>
        <v>0</v>
      </c>
      <c r="J91" s="15" t="str">
        <f t="shared" si="4"/>
        <v/>
      </c>
      <c r="K91" s="19" t="str">
        <f t="shared" si="5"/>
        <v/>
      </c>
      <c r="L91" s="20">
        <f>'📋 Data Entry'!O91</f>
        <v>0</v>
      </c>
      <c r="M91" s="20">
        <f>'📋 Data Entry'!P91</f>
        <v>0</v>
      </c>
      <c r="N91" s="20">
        <f>'📋 Data Entry'!Q91</f>
        <v>0</v>
      </c>
    </row>
    <row r="92" spans="1:14" ht="19.5" customHeight="1" x14ac:dyDescent="0.35">
      <c r="A92" s="11" t="str">
        <f>'📋 Data Entry'!A92</f>
        <v/>
      </c>
      <c r="B92" s="12">
        <f>'📋 Data Entry'!B92</f>
        <v>0</v>
      </c>
      <c r="C92" s="13">
        <f>'📋 Data Entry'!D92</f>
        <v>0</v>
      </c>
      <c r="D92" s="13">
        <f>'📋 Data Entry'!G92</f>
        <v>0</v>
      </c>
      <c r="E92" s="14" t="str">
        <f>IF('📋 Data Entry'!I92="Yes",5,IF('📋 Data Entry'!I92="No",0,""))</f>
        <v/>
      </c>
      <c r="F92" s="14" t="str">
        <f>IF('📋 Data Entry'!K92="Yes",5,IF('📋 Data Entry'!K92="No",0,""))</f>
        <v/>
      </c>
      <c r="G92" s="14" t="str">
        <f>IFERROR(VALUE(LEFT('📋 Data Entry'!M92,FIND(" ",'📋 Data Entry'!M92)-1)),"")</f>
        <v/>
      </c>
      <c r="H92" s="14">
        <f>'📋 Data Entry'!N92</f>
        <v>0</v>
      </c>
      <c r="I92" s="14">
        <f>'📋 Data Entry'!U92</f>
        <v>0</v>
      </c>
      <c r="J92" s="15" t="str">
        <f t="shared" si="4"/>
        <v/>
      </c>
      <c r="K92" s="16" t="str">
        <f t="shared" si="5"/>
        <v/>
      </c>
      <c r="L92" s="17">
        <f>'📋 Data Entry'!O92</f>
        <v>0</v>
      </c>
      <c r="M92" s="17">
        <f>'📋 Data Entry'!P92</f>
        <v>0</v>
      </c>
      <c r="N92" s="17">
        <f>'📋 Data Entry'!Q92</f>
        <v>0</v>
      </c>
    </row>
    <row r="93" spans="1:14" ht="19.5" customHeight="1" x14ac:dyDescent="0.35">
      <c r="A93" s="8" t="str">
        <f>'📋 Data Entry'!A93</f>
        <v/>
      </c>
      <c r="B93" s="9">
        <f>'📋 Data Entry'!B93</f>
        <v>0</v>
      </c>
      <c r="C93" s="10">
        <f>'📋 Data Entry'!D93</f>
        <v>0</v>
      </c>
      <c r="D93" s="10">
        <f>'📋 Data Entry'!G93</f>
        <v>0</v>
      </c>
      <c r="E93" s="18" t="str">
        <f>IF('📋 Data Entry'!I93="Yes",5,IF('📋 Data Entry'!I93="No",0,""))</f>
        <v/>
      </c>
      <c r="F93" s="18" t="str">
        <f>IF('📋 Data Entry'!K93="Yes",5,IF('📋 Data Entry'!K93="No",0,""))</f>
        <v/>
      </c>
      <c r="G93" s="18" t="str">
        <f>IFERROR(VALUE(LEFT('📋 Data Entry'!M93,FIND(" ",'📋 Data Entry'!M93)-1)),"")</f>
        <v/>
      </c>
      <c r="H93" s="18">
        <f>'📋 Data Entry'!N93</f>
        <v>0</v>
      </c>
      <c r="I93" s="18">
        <f>'📋 Data Entry'!U93</f>
        <v>0</v>
      </c>
      <c r="J93" s="15" t="str">
        <f t="shared" si="4"/>
        <v/>
      </c>
      <c r="K93" s="19" t="str">
        <f t="shared" si="5"/>
        <v/>
      </c>
      <c r="L93" s="20">
        <f>'📋 Data Entry'!O93</f>
        <v>0</v>
      </c>
      <c r="M93" s="20">
        <f>'📋 Data Entry'!P93</f>
        <v>0</v>
      </c>
      <c r="N93" s="20">
        <f>'📋 Data Entry'!Q93</f>
        <v>0</v>
      </c>
    </row>
    <row r="94" spans="1:14" ht="19.5" customHeight="1" x14ac:dyDescent="0.35">
      <c r="A94" s="11" t="str">
        <f>'📋 Data Entry'!A94</f>
        <v/>
      </c>
      <c r="B94" s="12">
        <f>'📋 Data Entry'!B94</f>
        <v>0</v>
      </c>
      <c r="C94" s="13">
        <f>'📋 Data Entry'!D94</f>
        <v>0</v>
      </c>
      <c r="D94" s="13">
        <f>'📋 Data Entry'!G94</f>
        <v>0</v>
      </c>
      <c r="E94" s="14" t="str">
        <f>IF('📋 Data Entry'!I94="Yes",5,IF('📋 Data Entry'!I94="No",0,""))</f>
        <v/>
      </c>
      <c r="F94" s="14" t="str">
        <f>IF('📋 Data Entry'!K94="Yes",5,IF('📋 Data Entry'!K94="No",0,""))</f>
        <v/>
      </c>
      <c r="G94" s="14" t="str">
        <f>IFERROR(VALUE(LEFT('📋 Data Entry'!M94,FIND(" ",'📋 Data Entry'!M94)-1)),"")</f>
        <v/>
      </c>
      <c r="H94" s="14">
        <f>'📋 Data Entry'!N94</f>
        <v>0</v>
      </c>
      <c r="I94" s="14">
        <f>'📋 Data Entry'!U94</f>
        <v>0</v>
      </c>
      <c r="J94" s="15" t="str">
        <f t="shared" si="4"/>
        <v/>
      </c>
      <c r="K94" s="16" t="str">
        <f t="shared" si="5"/>
        <v/>
      </c>
      <c r="L94" s="17">
        <f>'📋 Data Entry'!O94</f>
        <v>0</v>
      </c>
      <c r="M94" s="17">
        <f>'📋 Data Entry'!P94</f>
        <v>0</v>
      </c>
      <c r="N94" s="17">
        <f>'📋 Data Entry'!Q94</f>
        <v>0</v>
      </c>
    </row>
    <row r="95" spans="1:14" ht="19.5" customHeight="1" x14ac:dyDescent="0.35">
      <c r="A95" s="8" t="str">
        <f>'📋 Data Entry'!A95</f>
        <v/>
      </c>
      <c r="B95" s="9">
        <f>'📋 Data Entry'!B95</f>
        <v>0</v>
      </c>
      <c r="C95" s="10">
        <f>'📋 Data Entry'!D95</f>
        <v>0</v>
      </c>
      <c r="D95" s="10">
        <f>'📋 Data Entry'!G95</f>
        <v>0</v>
      </c>
      <c r="E95" s="18" t="str">
        <f>IF('📋 Data Entry'!I95="Yes",5,IF('📋 Data Entry'!I95="No",0,""))</f>
        <v/>
      </c>
      <c r="F95" s="18" t="str">
        <f>IF('📋 Data Entry'!K95="Yes",5,IF('📋 Data Entry'!K95="No",0,""))</f>
        <v/>
      </c>
      <c r="G95" s="18" t="str">
        <f>IFERROR(VALUE(LEFT('📋 Data Entry'!M95,FIND(" ",'📋 Data Entry'!M95)-1)),"")</f>
        <v/>
      </c>
      <c r="H95" s="18">
        <f>'📋 Data Entry'!N95</f>
        <v>0</v>
      </c>
      <c r="I95" s="18">
        <f>'📋 Data Entry'!U95</f>
        <v>0</v>
      </c>
      <c r="J95" s="15" t="str">
        <f t="shared" si="4"/>
        <v/>
      </c>
      <c r="K95" s="19" t="str">
        <f t="shared" si="5"/>
        <v/>
      </c>
      <c r="L95" s="20">
        <f>'📋 Data Entry'!O95</f>
        <v>0</v>
      </c>
      <c r="M95" s="20">
        <f>'📋 Data Entry'!P95</f>
        <v>0</v>
      </c>
      <c r="N95" s="20">
        <f>'📋 Data Entry'!Q95</f>
        <v>0</v>
      </c>
    </row>
    <row r="96" spans="1:14" ht="19.5" customHeight="1" x14ac:dyDescent="0.35">
      <c r="A96" s="11" t="str">
        <f>'📋 Data Entry'!A96</f>
        <v/>
      </c>
      <c r="B96" s="12">
        <f>'📋 Data Entry'!B96</f>
        <v>0</v>
      </c>
      <c r="C96" s="13">
        <f>'📋 Data Entry'!D96</f>
        <v>0</v>
      </c>
      <c r="D96" s="13">
        <f>'📋 Data Entry'!G96</f>
        <v>0</v>
      </c>
      <c r="E96" s="14" t="str">
        <f>IF('📋 Data Entry'!I96="Yes",5,IF('📋 Data Entry'!I96="No",0,""))</f>
        <v/>
      </c>
      <c r="F96" s="14" t="str">
        <f>IF('📋 Data Entry'!K96="Yes",5,IF('📋 Data Entry'!K96="No",0,""))</f>
        <v/>
      </c>
      <c r="G96" s="14" t="str">
        <f>IFERROR(VALUE(LEFT('📋 Data Entry'!M96,FIND(" ",'📋 Data Entry'!M96)-1)),"")</f>
        <v/>
      </c>
      <c r="H96" s="14">
        <f>'📋 Data Entry'!N96</f>
        <v>0</v>
      </c>
      <c r="I96" s="14">
        <f>'📋 Data Entry'!U96</f>
        <v>0</v>
      </c>
      <c r="J96" s="15" t="str">
        <f t="shared" si="4"/>
        <v/>
      </c>
      <c r="K96" s="16" t="str">
        <f t="shared" si="5"/>
        <v/>
      </c>
      <c r="L96" s="17">
        <f>'📋 Data Entry'!O96</f>
        <v>0</v>
      </c>
      <c r="M96" s="17">
        <f>'📋 Data Entry'!P96</f>
        <v>0</v>
      </c>
      <c r="N96" s="17">
        <f>'📋 Data Entry'!Q96</f>
        <v>0</v>
      </c>
    </row>
    <row r="97" spans="1:14" ht="19.5" customHeight="1" x14ac:dyDescent="0.35">
      <c r="A97" s="8" t="str">
        <f>'📋 Data Entry'!A97</f>
        <v/>
      </c>
      <c r="B97" s="9">
        <f>'📋 Data Entry'!B97</f>
        <v>0</v>
      </c>
      <c r="C97" s="10">
        <f>'📋 Data Entry'!D97</f>
        <v>0</v>
      </c>
      <c r="D97" s="10">
        <f>'📋 Data Entry'!G97</f>
        <v>0</v>
      </c>
      <c r="E97" s="18" t="str">
        <f>IF('📋 Data Entry'!I97="Yes",5,IF('📋 Data Entry'!I97="No",0,""))</f>
        <v/>
      </c>
      <c r="F97" s="18" t="str">
        <f>IF('📋 Data Entry'!K97="Yes",5,IF('📋 Data Entry'!K97="No",0,""))</f>
        <v/>
      </c>
      <c r="G97" s="18" t="str">
        <f>IFERROR(VALUE(LEFT('📋 Data Entry'!M97,FIND(" ",'📋 Data Entry'!M97)-1)),"")</f>
        <v/>
      </c>
      <c r="H97" s="18">
        <f>'📋 Data Entry'!N97</f>
        <v>0</v>
      </c>
      <c r="I97" s="18">
        <f>'📋 Data Entry'!U97</f>
        <v>0</v>
      </c>
      <c r="J97" s="15" t="str">
        <f t="shared" si="4"/>
        <v/>
      </c>
      <c r="K97" s="19" t="str">
        <f t="shared" si="5"/>
        <v/>
      </c>
      <c r="L97" s="20">
        <f>'📋 Data Entry'!O97</f>
        <v>0</v>
      </c>
      <c r="M97" s="20">
        <f>'📋 Data Entry'!P97</f>
        <v>0</v>
      </c>
      <c r="N97" s="20">
        <f>'📋 Data Entry'!Q97</f>
        <v>0</v>
      </c>
    </row>
    <row r="98" spans="1:14" ht="19.5" customHeight="1" x14ac:dyDescent="0.35">
      <c r="A98" s="11" t="str">
        <f>'📋 Data Entry'!A98</f>
        <v/>
      </c>
      <c r="B98" s="12">
        <f>'📋 Data Entry'!B98</f>
        <v>0</v>
      </c>
      <c r="C98" s="13">
        <f>'📋 Data Entry'!D98</f>
        <v>0</v>
      </c>
      <c r="D98" s="13">
        <f>'📋 Data Entry'!G98</f>
        <v>0</v>
      </c>
      <c r="E98" s="14" t="str">
        <f>IF('📋 Data Entry'!I98="Yes",5,IF('📋 Data Entry'!I98="No",0,""))</f>
        <v/>
      </c>
      <c r="F98" s="14" t="str">
        <f>IF('📋 Data Entry'!K98="Yes",5,IF('📋 Data Entry'!K98="No",0,""))</f>
        <v/>
      </c>
      <c r="G98" s="14" t="str">
        <f>IFERROR(VALUE(LEFT('📋 Data Entry'!M98,FIND(" ",'📋 Data Entry'!M98)-1)),"")</f>
        <v/>
      </c>
      <c r="H98" s="14">
        <f>'📋 Data Entry'!N98</f>
        <v>0</v>
      </c>
      <c r="I98" s="14">
        <f>'📋 Data Entry'!U98</f>
        <v>0</v>
      </c>
      <c r="J98" s="15" t="str">
        <f t="shared" si="4"/>
        <v/>
      </c>
      <c r="K98" s="16" t="str">
        <f t="shared" si="5"/>
        <v/>
      </c>
      <c r="L98" s="17">
        <f>'📋 Data Entry'!O98</f>
        <v>0</v>
      </c>
      <c r="M98" s="17">
        <f>'📋 Data Entry'!P98</f>
        <v>0</v>
      </c>
      <c r="N98" s="17">
        <f>'📋 Data Entry'!Q98</f>
        <v>0</v>
      </c>
    </row>
    <row r="99" spans="1:14" ht="19.5" customHeight="1" x14ac:dyDescent="0.35">
      <c r="A99" s="8" t="str">
        <f>'📋 Data Entry'!A99</f>
        <v/>
      </c>
      <c r="B99" s="9">
        <f>'📋 Data Entry'!B99</f>
        <v>0</v>
      </c>
      <c r="C99" s="10">
        <f>'📋 Data Entry'!D99</f>
        <v>0</v>
      </c>
      <c r="D99" s="10">
        <f>'📋 Data Entry'!G99</f>
        <v>0</v>
      </c>
      <c r="E99" s="18" t="str">
        <f>IF('📋 Data Entry'!I99="Yes",5,IF('📋 Data Entry'!I99="No",0,""))</f>
        <v/>
      </c>
      <c r="F99" s="18" t="str">
        <f>IF('📋 Data Entry'!K99="Yes",5,IF('📋 Data Entry'!K99="No",0,""))</f>
        <v/>
      </c>
      <c r="G99" s="18" t="str">
        <f>IFERROR(VALUE(LEFT('📋 Data Entry'!M99,FIND(" ",'📋 Data Entry'!M99)-1)),"")</f>
        <v/>
      </c>
      <c r="H99" s="18">
        <f>'📋 Data Entry'!N99</f>
        <v>0</v>
      </c>
      <c r="I99" s="18">
        <f>'📋 Data Entry'!U99</f>
        <v>0</v>
      </c>
      <c r="J99" s="15" t="str">
        <f t="shared" si="4"/>
        <v/>
      </c>
      <c r="K99" s="19" t="str">
        <f t="shared" si="5"/>
        <v/>
      </c>
      <c r="L99" s="20">
        <f>'📋 Data Entry'!O99</f>
        <v>0</v>
      </c>
      <c r="M99" s="20">
        <f>'📋 Data Entry'!P99</f>
        <v>0</v>
      </c>
      <c r="N99" s="20">
        <f>'📋 Data Entry'!Q99</f>
        <v>0</v>
      </c>
    </row>
    <row r="100" spans="1:14" ht="19.5" customHeight="1" x14ac:dyDescent="0.35">
      <c r="A100" s="11" t="str">
        <f>'📋 Data Entry'!A100</f>
        <v/>
      </c>
      <c r="B100" s="12">
        <f>'📋 Data Entry'!B100</f>
        <v>0</v>
      </c>
      <c r="C100" s="13">
        <f>'📋 Data Entry'!D100</f>
        <v>0</v>
      </c>
      <c r="D100" s="13">
        <f>'📋 Data Entry'!G100</f>
        <v>0</v>
      </c>
      <c r="E100" s="14" t="str">
        <f>IF('📋 Data Entry'!I100="Yes",5,IF('📋 Data Entry'!I100="No",0,""))</f>
        <v/>
      </c>
      <c r="F100" s="14" t="str">
        <f>IF('📋 Data Entry'!K100="Yes",5,IF('📋 Data Entry'!K100="No",0,""))</f>
        <v/>
      </c>
      <c r="G100" s="14" t="str">
        <f>IFERROR(VALUE(LEFT('📋 Data Entry'!M100,FIND(" ",'📋 Data Entry'!M100)-1)),"")</f>
        <v/>
      </c>
      <c r="H100" s="14">
        <f>'📋 Data Entry'!N100</f>
        <v>0</v>
      </c>
      <c r="I100" s="14">
        <f>'📋 Data Entry'!U100</f>
        <v>0</v>
      </c>
      <c r="J100" s="15" t="str">
        <f t="shared" si="4"/>
        <v/>
      </c>
      <c r="K100" s="16" t="str">
        <f t="shared" si="5"/>
        <v/>
      </c>
      <c r="L100" s="17">
        <f>'📋 Data Entry'!O100</f>
        <v>0</v>
      </c>
      <c r="M100" s="17">
        <f>'📋 Data Entry'!P100</f>
        <v>0</v>
      </c>
      <c r="N100" s="17">
        <f>'📋 Data Entry'!Q100</f>
        <v>0</v>
      </c>
    </row>
    <row r="101" spans="1:14" ht="19.5" customHeight="1" x14ac:dyDescent="0.35">
      <c r="A101" s="8" t="str">
        <f>'📋 Data Entry'!A101</f>
        <v/>
      </c>
      <c r="B101" s="9">
        <f>'📋 Data Entry'!B101</f>
        <v>0</v>
      </c>
      <c r="C101" s="10">
        <f>'📋 Data Entry'!D101</f>
        <v>0</v>
      </c>
      <c r="D101" s="10">
        <f>'📋 Data Entry'!G101</f>
        <v>0</v>
      </c>
      <c r="E101" s="18" t="str">
        <f>IF('📋 Data Entry'!I101="Yes",5,IF('📋 Data Entry'!I101="No",0,""))</f>
        <v/>
      </c>
      <c r="F101" s="18" t="str">
        <f>IF('📋 Data Entry'!K101="Yes",5,IF('📋 Data Entry'!K101="No",0,""))</f>
        <v/>
      </c>
      <c r="G101" s="18" t="str">
        <f>IFERROR(VALUE(LEFT('📋 Data Entry'!M101,FIND(" ",'📋 Data Entry'!M101)-1)),"")</f>
        <v/>
      </c>
      <c r="H101" s="18">
        <f>'📋 Data Entry'!N101</f>
        <v>0</v>
      </c>
      <c r="I101" s="18">
        <f>'📋 Data Entry'!U101</f>
        <v>0</v>
      </c>
      <c r="J101" s="15" t="str">
        <f t="shared" si="4"/>
        <v/>
      </c>
      <c r="K101" s="19" t="str">
        <f t="shared" si="5"/>
        <v/>
      </c>
      <c r="L101" s="20">
        <f>'📋 Data Entry'!O101</f>
        <v>0</v>
      </c>
      <c r="M101" s="20">
        <f>'📋 Data Entry'!P101</f>
        <v>0</v>
      </c>
      <c r="N101" s="20">
        <f>'📋 Data Entry'!Q101</f>
        <v>0</v>
      </c>
    </row>
    <row r="102" spans="1:14" ht="19.5" customHeight="1" x14ac:dyDescent="0.35">
      <c r="A102" s="11" t="str">
        <f>'📋 Data Entry'!A102</f>
        <v/>
      </c>
      <c r="B102" s="12">
        <f>'📋 Data Entry'!B102</f>
        <v>0</v>
      </c>
      <c r="C102" s="13">
        <f>'📋 Data Entry'!D102</f>
        <v>0</v>
      </c>
      <c r="D102" s="13">
        <f>'📋 Data Entry'!G102</f>
        <v>0</v>
      </c>
      <c r="E102" s="14" t="str">
        <f>IF('📋 Data Entry'!I102="Yes",5,IF('📋 Data Entry'!I102="No",0,""))</f>
        <v/>
      </c>
      <c r="F102" s="14" t="str">
        <f>IF('📋 Data Entry'!K102="Yes",5,IF('📋 Data Entry'!K102="No",0,""))</f>
        <v/>
      </c>
      <c r="G102" s="14" t="str">
        <f>IFERROR(VALUE(LEFT('📋 Data Entry'!M102,FIND(" ",'📋 Data Entry'!M102)-1)),"")</f>
        <v/>
      </c>
      <c r="H102" s="14">
        <f>'📋 Data Entry'!N102</f>
        <v>0</v>
      </c>
      <c r="I102" s="14">
        <f>'📋 Data Entry'!U102</f>
        <v>0</v>
      </c>
      <c r="J102" s="15" t="str">
        <f t="shared" si="4"/>
        <v/>
      </c>
      <c r="K102" s="16" t="str">
        <f t="shared" si="5"/>
        <v/>
      </c>
      <c r="L102" s="17">
        <f>'📋 Data Entry'!O102</f>
        <v>0</v>
      </c>
      <c r="M102" s="17">
        <f>'📋 Data Entry'!P102</f>
        <v>0</v>
      </c>
      <c r="N102" s="17">
        <f>'📋 Data Entry'!Q102</f>
        <v>0</v>
      </c>
    </row>
    <row r="103" spans="1:14" ht="19.5" customHeight="1" x14ac:dyDescent="0.35">
      <c r="A103" s="8" t="str">
        <f>'📋 Data Entry'!A103</f>
        <v/>
      </c>
      <c r="B103" s="9">
        <f>'📋 Data Entry'!B103</f>
        <v>0</v>
      </c>
      <c r="C103" s="10">
        <f>'📋 Data Entry'!D103</f>
        <v>0</v>
      </c>
      <c r="D103" s="10">
        <f>'📋 Data Entry'!G103</f>
        <v>0</v>
      </c>
      <c r="E103" s="18" t="str">
        <f>IF('📋 Data Entry'!I103="Yes",5,IF('📋 Data Entry'!I103="No",0,""))</f>
        <v/>
      </c>
      <c r="F103" s="18" t="str">
        <f>IF('📋 Data Entry'!K103="Yes",5,IF('📋 Data Entry'!K103="No",0,""))</f>
        <v/>
      </c>
      <c r="G103" s="18" t="str">
        <f>IFERROR(VALUE(LEFT('📋 Data Entry'!M103,FIND(" ",'📋 Data Entry'!M103)-1)),"")</f>
        <v/>
      </c>
      <c r="H103" s="18">
        <f>'📋 Data Entry'!N103</f>
        <v>0</v>
      </c>
      <c r="I103" s="18">
        <f>'📋 Data Entry'!U103</f>
        <v>0</v>
      </c>
      <c r="J103" s="15" t="str">
        <f t="shared" si="4"/>
        <v/>
      </c>
      <c r="K103" s="19" t="str">
        <f t="shared" si="5"/>
        <v/>
      </c>
      <c r="L103" s="20">
        <f>'📋 Data Entry'!O103</f>
        <v>0</v>
      </c>
      <c r="M103" s="20">
        <f>'📋 Data Entry'!P103</f>
        <v>0</v>
      </c>
      <c r="N103" s="20">
        <f>'📋 Data Entry'!Q103</f>
        <v>0</v>
      </c>
    </row>
    <row r="104" spans="1:14" ht="19.5" customHeight="1" x14ac:dyDescent="0.35">
      <c r="A104" s="11" t="str">
        <f>'📋 Data Entry'!A104</f>
        <v/>
      </c>
      <c r="B104" s="12">
        <f>'📋 Data Entry'!B104</f>
        <v>0</v>
      </c>
      <c r="C104" s="13">
        <f>'📋 Data Entry'!D104</f>
        <v>0</v>
      </c>
      <c r="D104" s="13">
        <f>'📋 Data Entry'!G104</f>
        <v>0</v>
      </c>
      <c r="E104" s="14" t="str">
        <f>IF('📋 Data Entry'!I104="Yes",5,IF('📋 Data Entry'!I104="No",0,""))</f>
        <v/>
      </c>
      <c r="F104" s="14" t="str">
        <f>IF('📋 Data Entry'!K104="Yes",5,IF('📋 Data Entry'!K104="No",0,""))</f>
        <v/>
      </c>
      <c r="G104" s="14" t="str">
        <f>IFERROR(VALUE(LEFT('📋 Data Entry'!M104,FIND(" ",'📋 Data Entry'!M104)-1)),"")</f>
        <v/>
      </c>
      <c r="H104" s="14">
        <f>'📋 Data Entry'!N104</f>
        <v>0</v>
      </c>
      <c r="I104" s="14">
        <f>'📋 Data Entry'!U104</f>
        <v>0</v>
      </c>
      <c r="J104" s="15" t="str">
        <f t="shared" si="4"/>
        <v/>
      </c>
      <c r="K104" s="16" t="str">
        <f t="shared" si="5"/>
        <v/>
      </c>
      <c r="L104" s="17">
        <f>'📋 Data Entry'!O104</f>
        <v>0</v>
      </c>
      <c r="M104" s="17">
        <f>'📋 Data Entry'!P104</f>
        <v>0</v>
      </c>
      <c r="N104" s="17">
        <f>'📋 Data Entry'!Q104</f>
        <v>0</v>
      </c>
    </row>
  </sheetData>
  <mergeCells count="5">
    <mergeCell ref="A1:N1"/>
    <mergeCell ref="A2:N2"/>
    <mergeCell ref="A3:D3"/>
    <mergeCell ref="J3:K3"/>
    <mergeCell ref="L3:N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9"/>
  <sheetViews>
    <sheetView showGridLines="0" zoomScaleNormal="100" workbookViewId="0">
      <pane ySplit="2" topLeftCell="A3" activePane="bottomLeft" state="frozen"/>
      <selection pane="bottomLeft" activeCell="E16" sqref="E16"/>
    </sheetView>
  </sheetViews>
  <sheetFormatPr defaultColWidth="8.6328125" defaultRowHeight="14.5" x14ac:dyDescent="0.35"/>
  <cols>
    <col min="1" max="1" width="20" customWidth="1"/>
    <col min="2" max="9" width="12" customWidth="1"/>
    <col min="10" max="11" width="16" customWidth="1"/>
  </cols>
  <sheetData>
    <row r="1" spans="1:11" ht="25.5" customHeight="1" x14ac:dyDescent="0.35">
      <c r="A1" s="33" t="s">
        <v>181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11" ht="13.5" customHeight="1" x14ac:dyDescent="0.35">
      <c r="A2" s="34" t="s">
        <v>182</v>
      </c>
      <c r="B2" s="34"/>
      <c r="C2" s="34"/>
      <c r="D2" s="34"/>
      <c r="E2" s="34"/>
      <c r="F2" s="34"/>
      <c r="G2" s="34"/>
      <c r="H2" s="34"/>
      <c r="I2" s="34"/>
      <c r="J2" s="34"/>
      <c r="K2" s="34"/>
    </row>
    <row r="3" spans="1:11" ht="33.75" customHeight="1" x14ac:dyDescent="0.35">
      <c r="A3" s="3" t="s">
        <v>183</v>
      </c>
      <c r="B3" s="3" t="s">
        <v>184</v>
      </c>
      <c r="C3" s="3" t="s">
        <v>185</v>
      </c>
      <c r="D3" s="3" t="s">
        <v>186</v>
      </c>
      <c r="E3" s="3" t="s">
        <v>187</v>
      </c>
      <c r="F3" s="3" t="s">
        <v>188</v>
      </c>
      <c r="G3" s="3" t="s">
        <v>189</v>
      </c>
      <c r="H3" s="3" t="s">
        <v>190</v>
      </c>
      <c r="I3" s="3" t="s">
        <v>191</v>
      </c>
      <c r="J3" s="3" t="s">
        <v>192</v>
      </c>
      <c r="K3" s="3" t="s">
        <v>193</v>
      </c>
    </row>
    <row r="4" spans="1:11" ht="25.5" customHeight="1" x14ac:dyDescent="0.35">
      <c r="A4" s="21" t="s">
        <v>81</v>
      </c>
      <c r="B4" s="14">
        <f>COUNTIF('📊 Scorecard'!D5:D104,"Asian Paints")</f>
        <v>0</v>
      </c>
      <c r="C4" s="14" t="str">
        <f>IFERROR(ROUND(AVERAGEIF('📊 Scorecard'!D5:D104,"Asian Paints",'📊 Scorecard'!E5:E104),1),"")</f>
        <v/>
      </c>
      <c r="D4" s="14" t="str">
        <f>IFERROR(ROUND(AVERAGEIF('📊 Scorecard'!D5:D104,"Asian Paints",'📊 Scorecard'!F5:F104),1),"")</f>
        <v/>
      </c>
      <c r="E4" s="14" t="str">
        <f>IFERROR(ROUND(AVERAGEIF('📊 Scorecard'!D5:D104,"Asian Paints",'📊 Scorecard'!G5:G104),1),"")</f>
        <v/>
      </c>
      <c r="F4" s="14" t="str">
        <f>IFERROR(ROUND(AVERAGEIF('📊 Scorecard'!D5:D104,"Asian Paints",'📊 Scorecard'!H5:H104),1),"")</f>
        <v/>
      </c>
      <c r="G4" s="14" t="str">
        <f>IFERROR(ROUND(AVERAGEIF('📊 Scorecard'!D5:D104,"Asian Paints",'📊 Scorecard'!I5:I104),1),"")</f>
        <v/>
      </c>
      <c r="H4" s="22" t="str">
        <f>IFERROR(ROUND(AVERAGEIF('📊 Scorecard'!D5:D104,"Asian Paints",'📊 Scorecard'!J5:J104),1),"")</f>
        <v/>
      </c>
      <c r="I4" s="16" t="str">
        <f>IF(H4="","",IF(H4&gt;=80,"Excellent",IF(H4&gt;=65,"Good",IF(H4&gt;=50,"Average","Weak"))))</f>
        <v/>
      </c>
      <c r="J4" s="23" t="str">
        <f>IFERROR(INDEX({"Brand Recall","Product ID","Benefit Recall","Ease","Purchase Conf"},MATCH(MAX(C4:G4),C4:G4,0)),"")</f>
        <v/>
      </c>
      <c r="K4" s="24" t="str">
        <f>IFERROR(INDEX({"Brand Recall","Product ID","Benefit Recall","Ease","Purchase Conf"},MATCH(MIN(C4:G4),C4:G4,0)),"")</f>
        <v/>
      </c>
    </row>
    <row r="5" spans="1:11" ht="25.5" customHeight="1" x14ac:dyDescent="0.35">
      <c r="A5" s="25" t="s">
        <v>35</v>
      </c>
      <c r="B5" s="18">
        <f>COUNTIF('📊 Scorecard'!D5:D104,"Birla Opus")</f>
        <v>0</v>
      </c>
      <c r="C5" s="18" t="str">
        <f>IFERROR(ROUND(AVERAGEIF('📊 Scorecard'!D5:D104,"Birla Opus",'📊 Scorecard'!E5:E104),1),"")</f>
        <v/>
      </c>
      <c r="D5" s="18" t="str">
        <f>IFERROR(ROUND(AVERAGEIF('📊 Scorecard'!D5:D104,"Birla Opus",'📊 Scorecard'!F5:F104),1),"")</f>
        <v/>
      </c>
      <c r="E5" s="18" t="str">
        <f>IFERROR(ROUND(AVERAGEIF('📊 Scorecard'!D5:D104,"Birla Opus",'📊 Scorecard'!G5:G104),1),"")</f>
        <v/>
      </c>
      <c r="F5" s="18" t="str">
        <f>IFERROR(ROUND(AVERAGEIF('📊 Scorecard'!D5:D104,"Birla Opus",'📊 Scorecard'!H5:H104),1),"")</f>
        <v/>
      </c>
      <c r="G5" s="18" t="str">
        <f>IFERROR(ROUND(AVERAGEIF('📊 Scorecard'!D5:D104,"Birla Opus",'📊 Scorecard'!I5:I104),1),"")</f>
        <v/>
      </c>
      <c r="H5" s="22" t="str">
        <f>IFERROR(ROUND(AVERAGEIF('📊 Scorecard'!D5:D104,"Birla Opus",'📊 Scorecard'!J5:J104),1),"")</f>
        <v/>
      </c>
      <c r="I5" s="19" t="str">
        <f>IF(H5="","",IF(H5&gt;=80,"Excellent",IF(H5&gt;=65,"Good",IF(H5&gt;=50,"Average","Weak"))))</f>
        <v/>
      </c>
      <c r="J5" s="26" t="str">
        <f>IFERROR(INDEX({"Brand Recall","Product ID","Benefit Recall","Ease","Purchase Conf"},MATCH(MAX(C5:G5),C5:G5,0)),"")</f>
        <v/>
      </c>
      <c r="K5" s="27" t="str">
        <f>IFERROR(INDEX({"Brand Recall","Product ID","Benefit Recall","Ease","Purchase Conf"},MATCH(MIN(C5:G5),C5:G5,0)),"")</f>
        <v/>
      </c>
    </row>
    <row r="6" spans="1:11" ht="25.5" customHeight="1" x14ac:dyDescent="0.35">
      <c r="A6" s="21" t="s">
        <v>73</v>
      </c>
      <c r="B6" s="14">
        <f>COUNTIF('📊 Scorecard'!D5:D104,"Dulux Paints")</f>
        <v>0</v>
      </c>
      <c r="C6" s="14" t="str">
        <f>IFERROR(ROUND(AVERAGEIF('📊 Scorecard'!D5:D104,"Dulux Paints",'📊 Scorecard'!E5:E104),1),"")</f>
        <v/>
      </c>
      <c r="D6" s="14" t="str">
        <f>IFERROR(ROUND(AVERAGEIF('📊 Scorecard'!D5:D104,"Dulux Paints",'📊 Scorecard'!F5:F104),1),"")</f>
        <v/>
      </c>
      <c r="E6" s="14" t="str">
        <f>IFERROR(ROUND(AVERAGEIF('📊 Scorecard'!D5:D104,"Dulux Paints",'📊 Scorecard'!G5:G104),1),"")</f>
        <v/>
      </c>
      <c r="F6" s="14" t="str">
        <f>IFERROR(ROUND(AVERAGEIF('📊 Scorecard'!D5:D104,"Dulux Paints",'📊 Scorecard'!H5:H104),1),"")</f>
        <v/>
      </c>
      <c r="G6" s="14" t="str">
        <f>IFERROR(ROUND(AVERAGEIF('📊 Scorecard'!D5:D104,"Dulux Paints",'📊 Scorecard'!I5:I104),1),"")</f>
        <v/>
      </c>
      <c r="H6" s="22" t="str">
        <f>IFERROR(ROUND(AVERAGEIF('📊 Scorecard'!D5:D104,"Dulux Paints",'📊 Scorecard'!J5:J104),1),"")</f>
        <v/>
      </c>
      <c r="I6" s="16" t="str">
        <f>IF(H6="","",IF(H6&gt;=80,"Excellent",IF(H6&gt;=65,"Good",IF(H6&gt;=50,"Average","Weak"))))</f>
        <v/>
      </c>
      <c r="J6" s="23" t="str">
        <f>IFERROR(INDEX({"Brand Recall","Product ID","Benefit Recall","Ease","Purchase Conf"},MATCH(MAX(C6:G6),C6:G6,0)),"")</f>
        <v/>
      </c>
      <c r="K6" s="24" t="str">
        <f>IFERROR(INDEX({"Brand Recall","Product ID","Benefit Recall","Ease","Purchase Conf"},MATCH(MIN(C6:G6),C6:G6,0)),"")</f>
        <v/>
      </c>
    </row>
    <row r="7" spans="1:11" ht="25.5" customHeight="1" x14ac:dyDescent="0.35">
      <c r="A7" s="25" t="s">
        <v>67</v>
      </c>
      <c r="B7" s="18">
        <f>COUNTIF('📊 Scorecard'!D5:D104,"JSW Paints")</f>
        <v>0</v>
      </c>
      <c r="C7" s="18" t="str">
        <f>IFERROR(ROUND(AVERAGEIF('📊 Scorecard'!D5:D104,"JSW Paints",'📊 Scorecard'!E5:E104),1),"")</f>
        <v/>
      </c>
      <c r="D7" s="18" t="str">
        <f>IFERROR(ROUND(AVERAGEIF('📊 Scorecard'!D5:D104,"JSW Paints",'📊 Scorecard'!F5:F104),1),"")</f>
        <v/>
      </c>
      <c r="E7" s="18" t="str">
        <f>IFERROR(ROUND(AVERAGEIF('📊 Scorecard'!D5:D104,"JSW Paints",'📊 Scorecard'!G5:G104),1),"")</f>
        <v/>
      </c>
      <c r="F7" s="18" t="str">
        <f>IFERROR(ROUND(AVERAGEIF('📊 Scorecard'!D5:D104,"JSW Paints",'📊 Scorecard'!H5:H104),1),"")</f>
        <v/>
      </c>
      <c r="G7" s="18" t="str">
        <f>IFERROR(ROUND(AVERAGEIF('📊 Scorecard'!D5:D104,"JSW Paints",'📊 Scorecard'!I5:I104),1),"")</f>
        <v/>
      </c>
      <c r="H7" s="22" t="str">
        <f>IFERROR(ROUND(AVERAGEIF('📊 Scorecard'!D5:D104,"JSW Paints",'📊 Scorecard'!J5:J104),1),"")</f>
        <v/>
      </c>
      <c r="I7" s="19" t="str">
        <f>IF(H7="","",IF(H7&gt;=80,"Excellent",IF(H7&gt;=65,"Good",IF(H7&gt;=50,"Average","Weak"))))</f>
        <v/>
      </c>
      <c r="J7" s="26" t="str">
        <f>IFERROR(INDEX({"Brand Recall","Product ID","Benefit Recall","Ease","Purchase Conf"},MATCH(MAX(C7:G7),C7:G7,0)),"")</f>
        <v/>
      </c>
      <c r="K7" s="27" t="str">
        <f>IFERROR(INDEX({"Brand Recall","Product ID","Benefit Recall","Ease","Purchase Conf"},MATCH(MIN(C7:G7),C7:G7,0)),"")</f>
        <v/>
      </c>
    </row>
    <row r="9" spans="1:11" ht="21.75" customHeight="1" x14ac:dyDescent="0.35">
      <c r="A9" s="28" t="s">
        <v>194</v>
      </c>
      <c r="B9" s="29"/>
      <c r="C9" s="29" t="str">
        <f>IFERROR(RANK(C4:C7,C4:C7,0),"")</f>
        <v/>
      </c>
      <c r="D9" s="29" t="str">
        <f>IFERROR(RANK(D4:D7,D4:D7,0),"")</f>
        <v/>
      </c>
      <c r="E9" s="29" t="str">
        <f>IFERROR(RANK(E4:E7,E4:E7,0),"")</f>
        <v/>
      </c>
      <c r="F9" s="29" t="str">
        <f>IFERROR(RANK(F4:F7,F4:F7,0),"")</f>
        <v/>
      </c>
      <c r="G9" s="29" t="str">
        <f>IFERROR(RANK(G4:G7,G4:G7,0),"")</f>
        <v/>
      </c>
      <c r="H9" s="29" t="str">
        <f>IFERROR(INDEX($A$4:$A$7,MATCH(MAX(H4:H7),H4:H7,0))&amp;" leads","")</f>
        <v/>
      </c>
      <c r="I9" s="29"/>
      <c r="J9" s="29"/>
      <c r="K9" s="29"/>
    </row>
    <row r="11" spans="1:11" ht="7.5" customHeight="1" x14ac:dyDescent="0.35"/>
    <row r="12" spans="1:11" ht="21.75" customHeight="1" x14ac:dyDescent="0.35">
      <c r="A12" s="37" t="s">
        <v>195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</row>
    <row r="13" spans="1:11" ht="21.75" customHeight="1" x14ac:dyDescent="0.35">
      <c r="A13" s="30" t="s">
        <v>196</v>
      </c>
      <c r="B13" s="30" t="s">
        <v>197</v>
      </c>
      <c r="C13" s="30" t="s">
        <v>198</v>
      </c>
      <c r="D13" s="30" t="s">
        <v>199</v>
      </c>
      <c r="E13" s="30" t="s">
        <v>200</v>
      </c>
      <c r="F13" s="30" t="s">
        <v>201</v>
      </c>
      <c r="G13" s="30" t="s">
        <v>202</v>
      </c>
    </row>
    <row r="14" spans="1:11" ht="19.5" customHeight="1" x14ac:dyDescent="0.35">
      <c r="A14" s="12" t="s">
        <v>86</v>
      </c>
      <c r="B14" s="14">
        <f>COUNTIF('📊 Scorecard'!L5:L104,"Brand Name")</f>
        <v>1</v>
      </c>
      <c r="C14" s="14">
        <f>COUNTIF('📊 Scorecard'!M5:M104,"Brand Name")</f>
        <v>3</v>
      </c>
      <c r="D14" s="14">
        <f>COUNTIF('📊 Scorecard'!N5:N104,"Brand Name")</f>
        <v>6</v>
      </c>
      <c r="E14" s="31" t="str">
        <f>IFERROR(ROUND(B14/COUNTA('📊 Scorecard'!A5:A104)*100,1)&amp;"%","")</f>
        <v>1%</v>
      </c>
      <c r="F14" s="31" t="str">
        <f>IFERROR(ROUND(C14/COUNTA('📊 Scorecard'!A5:A104)*100,1)&amp;"%","")</f>
        <v>3%</v>
      </c>
      <c r="G14" s="31" t="str">
        <f>IFERROR(ROUND(D14/COUNTA('📊 Scorecard'!A5:A104)*100,1)&amp;"%","")</f>
        <v>6%</v>
      </c>
    </row>
    <row r="15" spans="1:11" ht="19.5" customHeight="1" x14ac:dyDescent="0.35">
      <c r="A15" s="9" t="s">
        <v>40</v>
      </c>
      <c r="B15" s="18">
        <f>COUNTIF('📊 Scorecard'!L5:L104,"Product Name")</f>
        <v>4</v>
      </c>
      <c r="C15" s="18">
        <f>COUNTIF('📊 Scorecard'!M5:M104,"Product Name")</f>
        <v>3</v>
      </c>
      <c r="D15" s="18">
        <f>COUNTIF('📊 Scorecard'!N5:N104,"Product Name")</f>
        <v>3</v>
      </c>
      <c r="E15" s="32" t="str">
        <f>IFERROR(ROUND(B15/COUNTA('📊 Scorecard'!A5:A104)*100,1)&amp;"%","")</f>
        <v>4%</v>
      </c>
      <c r="F15" s="32" t="str">
        <f>IFERROR(ROUND(C15/COUNTA('📊 Scorecard'!A5:A104)*100,1)&amp;"%","")</f>
        <v>3%</v>
      </c>
      <c r="G15" s="32" t="str">
        <f>IFERROR(ROUND(D15/COUNTA('📊 Scorecard'!A5:A104)*100,1)&amp;"%","")</f>
        <v>3%</v>
      </c>
    </row>
    <row r="16" spans="1:11" ht="19.5" customHeight="1" x14ac:dyDescent="0.35">
      <c r="A16" s="12" t="s">
        <v>203</v>
      </c>
      <c r="B16" s="14">
        <f>COUNTIF('📊 Scorecard'!L5:L104,"Benefit Claim")</f>
        <v>0</v>
      </c>
      <c r="C16" s="14">
        <f>COUNTIF('📊 Scorecard'!M5:M104,"Benefit Claim")</f>
        <v>0</v>
      </c>
      <c r="D16" s="14">
        <f>COUNTIF('📊 Scorecard'!N5:N104,"Benefit Claim")</f>
        <v>0</v>
      </c>
      <c r="E16" s="31" t="str">
        <f>IFERROR(ROUND(B16/COUNTA('📊 Scorecard'!A5:A104)*100,1)&amp;"%","")</f>
        <v>0%</v>
      </c>
      <c r="F16" s="31" t="str">
        <f>IFERROR(ROUND(C16/COUNTA('📊 Scorecard'!A5:A104)*100,1)&amp;"%","")</f>
        <v>0%</v>
      </c>
      <c r="G16" s="31" t="str">
        <f>IFERROR(ROUND(D16/COUNTA('📊 Scorecard'!A5:A104)*100,1)&amp;"%","")</f>
        <v>0%</v>
      </c>
    </row>
    <row r="17" spans="1:7" ht="19.5" customHeight="1" x14ac:dyDescent="0.35">
      <c r="A17" s="9" t="s">
        <v>204</v>
      </c>
      <c r="B17" s="18">
        <f>COUNTIF('📊 Scorecard'!L5:L104,"Product Image")</f>
        <v>0</v>
      </c>
      <c r="C17" s="18">
        <f>COUNTIF('📊 Scorecard'!M5:M104,"Product Image")</f>
        <v>0</v>
      </c>
      <c r="D17" s="18">
        <f>COUNTIF('📊 Scorecard'!N5:N104,"Product Image")</f>
        <v>0</v>
      </c>
      <c r="E17" s="32" t="str">
        <f>IFERROR(ROUND(B17/COUNTA('📊 Scorecard'!A5:A104)*100,1)&amp;"%","")</f>
        <v>0%</v>
      </c>
      <c r="F17" s="32" t="str">
        <f>IFERROR(ROUND(C17/COUNTA('📊 Scorecard'!A5:A104)*100,1)&amp;"%","")</f>
        <v>0%</v>
      </c>
      <c r="G17" s="32" t="str">
        <f>IFERROR(ROUND(D17/COUNTA('📊 Scorecard'!A5:A104)*100,1)&amp;"%","")</f>
        <v>0%</v>
      </c>
    </row>
    <row r="18" spans="1:7" ht="19.5" customHeight="1" x14ac:dyDescent="0.35">
      <c r="A18" s="12" t="s">
        <v>205</v>
      </c>
      <c r="B18" s="14">
        <f>COUNTIF('📊 Scorecard'!L5:L104,"Colour")</f>
        <v>0</v>
      </c>
      <c r="C18" s="14">
        <f>COUNTIF('📊 Scorecard'!M5:M104,"Colour")</f>
        <v>0</v>
      </c>
      <c r="D18" s="14">
        <f>COUNTIF('📊 Scorecard'!N5:N104,"Colour")</f>
        <v>0</v>
      </c>
      <c r="E18" s="31" t="str">
        <f>IFERROR(ROUND(B18/COUNTA('📊 Scorecard'!A5:A104)*100,1)&amp;"%","")</f>
        <v>0%</v>
      </c>
      <c r="F18" s="31" t="str">
        <f>IFERROR(ROUND(C18/COUNTA('📊 Scorecard'!A5:A104)*100,1)&amp;"%","")</f>
        <v>0%</v>
      </c>
      <c r="G18" s="31" t="str">
        <f>IFERROR(ROUND(D18/COUNTA('📊 Scorecard'!A5:A104)*100,1)&amp;"%","")</f>
        <v>0%</v>
      </c>
    </row>
    <row r="19" spans="1:7" ht="19.5" customHeight="1" x14ac:dyDescent="0.35">
      <c r="A19" s="9" t="s">
        <v>206</v>
      </c>
      <c r="B19" s="18">
        <f>COUNTIF('📊 Scorecard'!L5:L104,"Other")</f>
        <v>0</v>
      </c>
      <c r="C19" s="18">
        <f>COUNTIF('📊 Scorecard'!M5:M104,"Other")</f>
        <v>0</v>
      </c>
      <c r="D19" s="18">
        <f>COUNTIF('📊 Scorecard'!N5:N104,"Other")</f>
        <v>0</v>
      </c>
      <c r="E19" s="32" t="str">
        <f>IFERROR(ROUND(B19/COUNTA('📊 Scorecard'!A5:A104)*100,1)&amp;"%","")</f>
        <v>0%</v>
      </c>
      <c r="F19" s="32" t="str">
        <f>IFERROR(ROUND(C19/COUNTA('📊 Scorecard'!A5:A104)*100,1)&amp;"%","")</f>
        <v>0%</v>
      </c>
      <c r="G19" s="32" t="str">
        <f>IFERROR(ROUND(D19/COUNTA('📊 Scorecard'!A5:A104)*100,1)&amp;"%","")</f>
        <v>0%</v>
      </c>
    </row>
  </sheetData>
  <mergeCells count="3">
    <mergeCell ref="A1:K1"/>
    <mergeCell ref="A2:K2"/>
    <mergeCell ref="A12:K12"/>
  </mergeCells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da9eb605-c732-4123-8b1f-0dd9db947871}" enabled="1" method="Privileged" siteId="{aab2e961-1f45-4717-9a42-8f87802af9b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📋 Data Entry</vt:lpstr>
      <vt:lpstr>📊 Scorecard</vt:lpstr>
      <vt:lpstr>📈 Brand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(JSW) Ramakant Paul</cp:lastModifiedBy>
  <cp:revision>0</cp:revision>
  <dcterms:created xsi:type="dcterms:W3CDTF">2026-06-04T10:23:41Z</dcterms:created>
  <dcterms:modified xsi:type="dcterms:W3CDTF">2026-06-16T12:03:18Z</dcterms:modified>
  <dc:language>en-US</dc:language>
</cp:coreProperties>
</file>