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🏪 Dealer_Retailer" sheetId="2" state="visible" r:id="rId4"/>
    <sheet name="🔨 Contractor" sheetId="3" state="visible" r:id="rId5"/>
    <sheet name="🏭 Distributor_Wholesaler" sheetId="4" state="visible" r:id="rId6"/>
    <sheet name="👤 Customer" sheetId="5" state="visible" r:id="rId7"/>
    <sheet name="📊 Brand_Mention_Freq" sheetId="6" state="visible" r:id="rId8"/>
    <sheet name="🔢 Sentiment_Coding" sheetId="7" state="visible" r:id="rId9"/>
    <sheet name="🏆 Master_Benchmar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<sst xmlns="http://schemas.openxmlformats.org/spreadsheetml/2006/main" count="2304" uniqueCount="788">
  <si>
    <t xml:space="preserve">🎨  PAINT PACKAGING BENCHMARKING — QUALITATIVE RESEARCH DATA COLLECTION TOOL</t>
  </si>
  <si>
    <t xml:space="preserve">📌  ABOUT THIS WORKBOOK</t>
  </si>
  <si>
    <t xml:space="preserve">Project</t>
  </si>
  <si>
    <t xml:space="preserve">Product Packaging Revision &amp; Relaunch — Vanguards Management Trainee Program</t>
  </si>
  <si>
    <t xml:space="preserve">Brands Benchmarked</t>
  </si>
  <si>
    <t xml:space="preserve">Asian Paints | Birla Opus | Dulux Paints | JSW Paints</t>
  </si>
  <si>
    <t xml:space="preserve">Methodology</t>
  </si>
  <si>
    <t xml:space="preserve">Semi-Structured Depth Interviews (SSDI) with Key Informants (KIs)</t>
  </si>
  <si>
    <t xml:space="preserve">Research Design</t>
  </si>
  <si>
    <t xml:space="preserve">Funnel Technique — Broad → Narrow → Specific</t>
  </si>
  <si>
    <t xml:space="preserve">📂  SHEET GUIDE</t>
  </si>
  <si>
    <t xml:space="preserve">🏪 Dealer_Retailer</t>
  </si>
  <si>
    <t xml:space="preserve">Record responses from 15–20 dealer/retailer interviews. 15 questions across 5 sections.</t>
  </si>
  <si>
    <t xml:space="preserve">🔨 Contractor</t>
  </si>
  <si>
    <t xml:space="preserve">Record responses from 15–20 contractor/painter interviews. 8 questions across 3 sections.</t>
  </si>
  <si>
    <t xml:space="preserve">🏭 Distributor_Wholesaler</t>
  </si>
  <si>
    <t xml:space="preserve">Record responses from 5–10 distributor/wholesaler interviews. 5 questions.</t>
  </si>
  <si>
    <t xml:space="preserve">👤 Customer</t>
  </si>
  <si>
    <t xml:space="preserve">Record responses from 20–30 end-customer interviews. 5 quick questions.</t>
  </si>
  <si>
    <t xml:space="preserve">📊 Brand_Mention_Freq</t>
  </si>
  <si>
    <t xml:space="preserve">Auto-tallies how many times each brand is mentioned per question across all sheets.</t>
  </si>
  <si>
    <t xml:space="preserve">🔢 Sentiment_Coding</t>
  </si>
  <si>
    <t xml:space="preserve">Enter sentiment scores (1–10) per respondent per dimension. Auto-averages.</t>
  </si>
  <si>
    <t xml:space="preserve">🏆 Master_Benchmark</t>
  </si>
  <si>
    <t xml:space="preserve">Auto-calculated final benchmarking matrix with Indices for all 4 brands.</t>
  </si>
  <si>
    <t xml:space="preserve">🖊️  HOW TO USE — DATA ENTRY</t>
  </si>
  <si>
    <t xml:space="preserve">Step 1</t>
  </si>
  <si>
    <t xml:space="preserve">Open the relevant stakeholder sheet (Dealer, Contractor, Distributor, or Customer).</t>
  </si>
  <si>
    <t xml:space="preserve">Step 2</t>
  </si>
  <si>
    <t xml:space="preserve">Each row = one respondent. Fill in Name/ID, Location, Date.</t>
  </si>
  <si>
    <t xml:space="preserve">Step 3</t>
  </si>
  <si>
    <t xml:space="preserve">During/after interview, type the respondent's answer in the response column.</t>
  </si>
  <si>
    <t xml:space="preserve">Step 4</t>
  </si>
  <si>
    <t xml:space="preserve">In the Brand Mentioned column, select which brand(s) they mentioned (dropdown).</t>
  </si>
  <si>
    <t xml:space="preserve">Step 5</t>
  </si>
  <si>
    <t xml:space="preserve">After the interview, go to Sentiment_Coding sheet and score that respondent 1–10.</t>
  </si>
  <si>
    <t xml:space="preserve">Step 6</t>
  </si>
  <si>
    <t xml:space="preserve">All summary tabs (Brand_Mention_Freq, Master_Benchmark) auto-update via formulas.</t>
  </si>
  <si>
    <t xml:space="preserve">Step 7</t>
  </si>
  <si>
    <t xml:space="preserve">Use the Master_Benchmark sheet for final PPT insights and index scores.</t>
  </si>
  <si>
    <t xml:space="preserve">📏  SCORING METHODS USED</t>
  </si>
  <si>
    <t xml:space="preserve">Method 1 — Brand Mention Frequency</t>
  </si>
  <si>
    <t xml:space="preserve">Counts how many KIs mentioned each brand per question. Score = (Mentions ÷ Max Mentions) × 10</t>
  </si>
  <si>
    <t xml:space="preserve">Method 2 — Sentiment Coding</t>
  </si>
  <si>
    <t xml:space="preserve">You rate each response 1–10 using the codebook (Best=10, Excellent=9, Very Good=8 ... Very Poor=1).</t>
  </si>
  <si>
    <t xml:space="preserve">Method 3 — Ranking Score</t>
  </si>
  <si>
    <t xml:space="preserve">If respondent ranked brands, Rank 1 = 5 pts, Rank 2 = 3 pts, Rank 3 = 1 pt. Aggregated.</t>
  </si>
  <si>
    <t xml:space="preserve">Final Index Score</t>
  </si>
  <si>
    <t xml:space="preserve">Average of Sentiment Score × 0.5 + Mention Frequency Score × 0.3 + Ranking Score × 0.2</t>
  </si>
  <si>
    <t xml:space="preserve">📋  🏪 DEALER RETAILER — INTERVIEW DATA COLLECTION</t>
  </si>
  <si>
    <t xml:space="preserve">INSTRUCTIONS: Fill one row per respondent. Type verbatim responses in Q columns. Select brand mentioned from dropdown. Complete Sentiment_Coding sheet after each interview.</t>
  </si>
  <si>
    <t xml:space="preserve">RESPONDENT INFO</t>
  </si>
  <si>
    <t xml:space="preserve">SECTION 1: Market Understanding</t>
  </si>
  <si>
    <t xml:space="preserve">SECTION 2: Packaging Visibility</t>
  </si>
  <si>
    <t xml:space="preserve">SECTION 3: Product Understanding</t>
  </si>
  <si>
    <t xml:space="preserve">SECTION 4: Premium Perception</t>
  </si>
  <si>
    <t xml:space="preserve">SECTION 5: Recommendation Behavior</t>
  </si>
  <si>
    <t xml:space="preserve">CODING &amp; NOTES</t>
  </si>
  <si>
    <t xml:space="preserve">D001</t>
  </si>
  <si>
    <t xml:space="preserve">Meera Bose</t>
  </si>
  <si>
    <t xml:space="preserve">Chennai</t>
  </si>
  <si>
    <t xml:space="preserve">29-May-2025</t>
  </si>
  <si>
    <t xml:space="preserve">Urban Retail</t>
  </si>
  <si>
    <t xml:space="preserve">Asian Paints — especially Royale and Apcolite. Customers already trust it.</t>
  </si>
  <si>
    <t xml:space="preserve">Asian Paints is easiest — customers recognise it, less explanation needed. Dulux Paints also easy.</t>
  </si>
  <si>
    <t xml:space="preserve">Mid-range</t>
  </si>
  <si>
    <t xml:space="preserve">Asian Paints — the red colour stands out immediately even from shop entrance.</t>
  </si>
  <si>
    <t xml:space="preserve">Asian Paints — visual block on shelf is very strong.</t>
  </si>
  <si>
    <t xml:space="preserve">Mostly Birla Opus gets ignored — poor shelf visibility and unclear packaging.</t>
  </si>
  <si>
    <t xml:space="preserve">Asian Paints — clear product names, everyone knows Royale, Ultima, Apcolite hierarchy.</t>
  </si>
  <si>
    <t xml:space="preserve">Customers often confuse Birla Opus variants — similar looking packs in same range.</t>
  </si>
  <si>
    <t xml:space="preserve">Rarely — customers ask about product type and variant differences.</t>
  </si>
  <si>
    <t xml:space="preserve">AP has premium associations built over decades. Pack reflects that heritage.</t>
  </si>
  <si>
    <t xml:space="preserve">Asian Paints — customers trust it without even reading the claims.</t>
  </si>
  <si>
    <t xml:space="preserve">Birla Opus looks most modern — clean and contemporary design.</t>
  </si>
  <si>
    <t xml:space="preserve">Yes, Asian Paints packaging helps — especially warranty badge and colour chip. Makes customer confident.</t>
  </si>
  <si>
    <t xml:space="preserve">Asian Paints is easiest to explain — clear product naming and features. JSW requires more explanation.</t>
  </si>
  <si>
    <t xml:space="preserve">More visual differentiation between product grades</t>
  </si>
  <si>
    <t xml:space="preserve">Asian Paints</t>
  </si>
  <si>
    <t xml:space="preserve">Strong Asian Paints advocate. Urban Retail dealer. Key insight: Simpler benefit claims — too technical currently</t>
  </si>
  <si>
    <t xml:space="preserve">D002</t>
  </si>
  <si>
    <t xml:space="preserve">Vinod Mishra</t>
  </si>
  <si>
    <t xml:space="preserve">Nagpur</t>
  </si>
  <si>
    <t xml:space="preserve">03-Mar-2025</t>
  </si>
  <si>
    <t xml:space="preserve">Premium Retail</t>
  </si>
  <si>
    <t xml:space="preserve">JSW is new but picking up. Customers who come for AP sometimes notice JSW due to price.</t>
  </si>
  <si>
    <t xml:space="preserve">JSW Paints is easiest — customers recognise it, less explanation needed. Dulux Paints also easy.</t>
  </si>
  <si>
    <t xml:space="preserve">Premium</t>
  </si>
  <si>
    <t xml:space="preserve">Honestly JSW doesn't stand out much on shelf. Gets lost between AP and Opus.</t>
  </si>
  <si>
    <t xml:space="preserve">JSW is improving but still lost on shelf between AP and Opus.</t>
  </si>
  <si>
    <t xml:space="preserve">Mostly Dulux Paints gets ignored — poor shelf visibility and unclear packaging.</t>
  </si>
  <si>
    <t xml:space="preserve">JSW is a bit confusing — customers sometimes pick wrong product. Too many similar packs.</t>
  </si>
  <si>
    <t xml:space="preserve">Sometimes — customers ask about product type and variant differences.</t>
  </si>
  <si>
    <t xml:space="preserve">JSW looks like economy brand even in premium range. Packaging needs to change.</t>
  </si>
  <si>
    <t xml:space="preserve">JSW needs more time to build trust. Still challenger brand.</t>
  </si>
  <si>
    <t xml:space="preserve">Yes, JSW Paints packaging helps — especially warranty badge and colour chip. Makes customer confident.</t>
  </si>
  <si>
    <t xml:space="preserve">JSW Paints is easiest to explain — clear product naming and features. Dulux requires more explanation.</t>
  </si>
  <si>
    <t xml:space="preserve">JSW Paints</t>
  </si>
  <si>
    <t xml:space="preserve">Strong JSW Paints advocate. Premium Retail dealer. Key insight: More visual differentiation between product grades</t>
  </si>
  <si>
    <t xml:space="preserve">D003</t>
  </si>
  <si>
    <t xml:space="preserve">Bharat Yadav</t>
  </si>
  <si>
    <t xml:space="preserve">AP and Birla Opus together. But AP has stronger name recall.</t>
  </si>
  <si>
    <t xml:space="preserve">Asian Paints is easiest — customers recognise it, less explanation needed. JSW Paints also easy.</t>
  </si>
  <si>
    <t xml:space="preserve">AP always. Their shelf display is dominant, pack colour is very recognisable.</t>
  </si>
  <si>
    <t xml:space="preserve">AP packaging with bold brand name stands out from 5 feet away.</t>
  </si>
  <si>
    <t xml:space="preserve">Customers often confuse JSW Paints variants — similar looking packs in same range.</t>
  </si>
  <si>
    <t xml:space="preserve">Asian Paints Royale — gold foil, heavy pack, premium feel. Customers associate AP with luxury.</t>
  </si>
  <si>
    <t xml:space="preserve">Clearer hierarchy between premium and standard ranges</t>
  </si>
  <si>
    <t xml:space="preserve">Strong Asian Paints advocate. Premium Retail dealer. Key insight: More visual differentiation between product grades</t>
  </si>
  <si>
    <t xml:space="preserve">D004</t>
  </si>
  <si>
    <t xml:space="preserve">Pooja Menon</t>
  </si>
  <si>
    <t xml:space="preserve">01-May-2025</t>
  </si>
  <si>
    <t xml:space="preserve">Semi-Urban Retail</t>
  </si>
  <si>
    <t xml:space="preserve">Asian Paints is easiest — customers recognise it, less explanation needed. Birla Opus also easy.</t>
  </si>
  <si>
    <t xml:space="preserve">Economy</t>
  </si>
  <si>
    <t xml:space="preserve">Asian Paints — strong colour block and brand name is large, reads from distance.</t>
  </si>
  <si>
    <t xml:space="preserve">Mostly JSW Paints gets ignored — poor shelf visibility and unclear packaging.</t>
  </si>
  <si>
    <t xml:space="preserve">AP is easiest. The range ladder is very clear — Premium, mid, economy all distinct.</t>
  </si>
  <si>
    <t xml:space="preserve">Simpler benefit claims — too technical currently</t>
  </si>
  <si>
    <t xml:space="preserve">Strong Asian Paints advocate. Semi-Urban Retail dealer. Key insight: QR code that shows colour on walls would help selling</t>
  </si>
  <si>
    <t xml:space="preserve">D005</t>
  </si>
  <si>
    <t xml:space="preserve">Sanjay Joshi</t>
  </si>
  <si>
    <t xml:space="preserve">Delhi</t>
  </si>
  <si>
    <t xml:space="preserve">06-Mar-2025</t>
  </si>
  <si>
    <t xml:space="preserve">JSW Paints is easiest — customers recognise it, less explanation needed. Asian Paints also easy.</t>
  </si>
  <si>
    <t xml:space="preserve">JSW is not very visible — pack looks similar to economy range of other brands.</t>
  </si>
  <si>
    <t xml:space="preserve">JSW doesn't stand out as much — needs stronger colour identity.</t>
  </si>
  <si>
    <t xml:space="preserve">JSW pack is hard to explain quickly. Claims are technical, customers don't understand.</t>
  </si>
  <si>
    <t xml:space="preserve">Customers often confuse Asian Paints variants — similar looking packs in same range.</t>
  </si>
  <si>
    <t xml:space="preserve">JSW doesn't look premium yet — needs design upgrade. Pack looks functional not aspirational.</t>
  </si>
  <si>
    <t xml:space="preserve">Pack size printed bigger — hard to tell 1L from 4L quickly</t>
  </si>
  <si>
    <t xml:space="preserve">Strong JSW Paints advocate. Urban Retail dealer. Key insight: Pack size printed bigger — hard to tell 1L from 4L quickly</t>
  </si>
  <si>
    <t xml:space="preserve">D006</t>
  </si>
  <si>
    <t xml:space="preserve">Manoj Joshi</t>
  </si>
  <si>
    <t xml:space="preserve">Kolkata</t>
  </si>
  <si>
    <t xml:space="preserve">Birla Opus is growing very fast. Their marketing push is strong right now.</t>
  </si>
  <si>
    <t xml:space="preserve">Birla Opus is easiest — customers recognise it, less explanation needed. Asian Paints also easy.</t>
  </si>
  <si>
    <t xml:space="preserve">Luxury</t>
  </si>
  <si>
    <t xml:space="preserve">Opus — their new packaging is bold. Customers often pick it up first to look.</t>
  </si>
  <si>
    <t xml:space="preserve">Opus metallic finish packaging stands out — very premium visual.</t>
  </si>
  <si>
    <t xml:space="preserve">Mostly Asian Paints gets ignored — poor shelf visibility and unclear packaging.</t>
  </si>
  <si>
    <t xml:space="preserve">Opus is clear for premium customers but economy range confuses some buyers.</t>
  </si>
  <si>
    <t xml:space="preserve">Birla Opus Velvet Touch — very premium look. Black and gold is instantly luxury.</t>
  </si>
  <si>
    <t xml:space="preserve">Opus — Aditya Birla group association gives automatic trust.</t>
  </si>
  <si>
    <t xml:space="preserve">Dulux Paints looks most modern — clean and contemporary design.</t>
  </si>
  <si>
    <t xml:space="preserve">Yes, Birla Opus packaging helps — especially warranty badge and colour chip. Makes customer confident.</t>
  </si>
  <si>
    <t xml:space="preserve">Birla Opus is easiest to explain — clear product naming and features. JSW requires more explanation.</t>
  </si>
  <si>
    <t xml:space="preserve">Birla Opus</t>
  </si>
  <si>
    <t xml:space="preserve">Strong Birla Opus advocate. Urban Retail dealer. Key insight: Simpler benefit claims — too technical currently</t>
  </si>
  <si>
    <t xml:space="preserve">D007</t>
  </si>
  <si>
    <t xml:space="preserve">Dinesh Desai</t>
  </si>
  <si>
    <t xml:space="preserve">Bengaluru</t>
  </si>
  <si>
    <t xml:space="preserve">06-May-2025</t>
  </si>
  <si>
    <t xml:space="preserve">Customers often confuse Dulux Paints variants — similar looking packs in same range.</t>
  </si>
  <si>
    <t xml:space="preserve">AP — decades of brand equity make pack instantly trustworthy.</t>
  </si>
  <si>
    <t xml:space="preserve">Strong Asian Paints advocate. Semi-Urban Retail dealer. Key insight: Simpler benefit claims — too technical currently</t>
  </si>
  <si>
    <t xml:space="preserve">D008</t>
  </si>
  <si>
    <t xml:space="preserve">Rajesh Gupta</t>
  </si>
  <si>
    <t xml:space="preserve">Pune</t>
  </si>
  <si>
    <t xml:space="preserve">10-May-2025</t>
  </si>
  <si>
    <t xml:space="preserve">Asian Paints always leads — customers ask for it by name without seeing the pack.</t>
  </si>
  <si>
    <t xml:space="preserve">Better colour coding between interior and exterior products</t>
  </si>
  <si>
    <t xml:space="preserve">Strong Asian Paints advocate. Urban Retail dealer. Key insight: Better colour coding between interior and exterior products</t>
  </si>
  <si>
    <t xml:space="preserve">D009</t>
  </si>
  <si>
    <t xml:space="preserve">Dinesh Joshi</t>
  </si>
  <si>
    <t xml:space="preserve">20-May-2025</t>
  </si>
  <si>
    <t xml:space="preserve">AP moves fastest, no doubt. Very strong brand pull in premium and mid segment.</t>
  </si>
  <si>
    <t xml:space="preserve">Bigger product name — customers can't read from distance</t>
  </si>
  <si>
    <t xml:space="preserve">Strong Asian Paints advocate. Premium Retail dealer. Key insight: Larger warranty badge on front panel</t>
  </si>
  <si>
    <t xml:space="preserve">D010</t>
  </si>
  <si>
    <t xml:space="preserve">Sunil Mishra</t>
  </si>
  <si>
    <t xml:space="preserve">16-Mar-2025</t>
  </si>
  <si>
    <t xml:space="preserve">JSW is slow — customers don't ask for it yet. We push it when margin is better.</t>
  </si>
  <si>
    <t xml:space="preserve">We have to explain JSW products more — the hierarchy is not obvious from pack.</t>
  </si>
  <si>
    <t xml:space="preserve">Strong JSW Paints advocate. Semi-Urban Retail dealer. Key insight: Application instructions should be clearer on pack</t>
  </si>
  <si>
    <t xml:space="preserve">D011</t>
  </si>
  <si>
    <t xml:space="preserve">Ganesh Bose</t>
  </si>
  <si>
    <t xml:space="preserve">Mumbai</t>
  </si>
  <si>
    <t xml:space="preserve">02-Apr-2025</t>
  </si>
  <si>
    <t xml:space="preserve">Larger warranty badge on front panel</t>
  </si>
  <si>
    <t xml:space="preserve">Strong Asian Paints advocate. Premium Retail dealer. Key insight: Pack size printed bigger — hard to tell 1L from 4L quickly</t>
  </si>
  <si>
    <t xml:space="preserve">D012</t>
  </si>
  <si>
    <t xml:space="preserve">Nitin Dubey</t>
  </si>
  <si>
    <t xml:space="preserve">Jaipur</t>
  </si>
  <si>
    <t xml:space="preserve">25-Apr-2025</t>
  </si>
  <si>
    <t xml:space="preserve">AP and Dulux together. Dulux has strong trust especially in Weathershield exterior.</t>
  </si>
  <si>
    <t xml:space="preserve">Dulux Paints is easiest — customers recognise it, less explanation needed. Birla Opus also easy.</t>
  </si>
  <si>
    <t xml:space="preserve">Sometimes Dulux, depends on placement. Their premium range stands out.</t>
  </si>
  <si>
    <t xml:space="preserve">Dulux weathershield pack — very strong visual, good shelf presence.</t>
  </si>
  <si>
    <t xml:space="preserve">Dulux is clear for exterior products. Weathershield is a strong concept customers get.</t>
  </si>
  <si>
    <t xml:space="preserve">Dulux — the white and clean minimal design feels international and premium.</t>
  </si>
  <si>
    <t xml:space="preserve">Dulux — international brand, customers trust the global standard.</t>
  </si>
  <si>
    <t xml:space="preserve">Yes, Dulux Paints packaging helps — especially warranty badge and colour chip. Makes customer confident.</t>
  </si>
  <si>
    <t xml:space="preserve">Dulux Paints is easiest to explain — clear product naming and features. JSW requires more explanation.</t>
  </si>
  <si>
    <t xml:space="preserve">QR code that shows colour on walls would help selling</t>
  </si>
  <si>
    <t xml:space="preserve">Dulux Paints</t>
  </si>
  <si>
    <t xml:space="preserve">Strong Dulux Paints advocate. Premium Retail dealer. Key insight: Eco certifications more visible — customers care about this now</t>
  </si>
  <si>
    <t xml:space="preserve">D013</t>
  </si>
  <si>
    <t xml:space="preserve">Ramesh Desai</t>
  </si>
  <si>
    <t xml:space="preserve">D014</t>
  </si>
  <si>
    <t xml:space="preserve">Nandini Bose</t>
  </si>
  <si>
    <t xml:space="preserve">Ahmedabad</t>
  </si>
  <si>
    <t xml:space="preserve">03-May-2025</t>
  </si>
  <si>
    <t xml:space="preserve">JSW needs more awareness. Good product but not top-of-mind for customers.</t>
  </si>
  <si>
    <t xml:space="preserve">Strong JSW Paints advocate. Urban Retail dealer. Key insight: Clearer hierarchy between premium and standard ranges</t>
  </si>
  <si>
    <t xml:space="preserve">D015</t>
  </si>
  <si>
    <t xml:space="preserve">Kiran Mehta</t>
  </si>
  <si>
    <t xml:space="preserve">Dulux moves well in premium — especially with architects and interior design customers.</t>
  </si>
  <si>
    <t xml:space="preserve">Dulux Paints is easiest — customers recognise it, less explanation needed. Asian Paints also easy.</t>
  </si>
  <si>
    <t xml:space="preserve">Dulux white and clean design looks premium and international.</t>
  </si>
  <si>
    <t xml:space="preserve">Strong Dulux Paints advocate. Semi-Urban Retail dealer. Key insight: Better colour coding between interior and exterior products</t>
  </si>
  <si>
    <t xml:space="preserve">D016</t>
  </si>
  <si>
    <t xml:space="preserve">Geeta Tiwari</t>
  </si>
  <si>
    <t xml:space="preserve">01-Apr-2025</t>
  </si>
  <si>
    <t xml:space="preserve">JSW Paints is easiest — customers recognise it, less explanation needed. Birla Opus also easy.</t>
  </si>
  <si>
    <t xml:space="preserve">JSW trust is building — the warranty claim is compelling when explained.</t>
  </si>
  <si>
    <t xml:space="preserve">Strong JSW Paints advocate. Urban Retail dealer. Key insight: Eco certifications more visible — customers care about this now</t>
  </si>
  <si>
    <t xml:space="preserve">D017</t>
  </si>
  <si>
    <t xml:space="preserve">Arjun Mehta</t>
  </si>
  <si>
    <t xml:space="preserve">08-Apr-2025</t>
  </si>
  <si>
    <t xml:space="preserve">D018</t>
  </si>
  <si>
    <t xml:space="preserve">Tarun Nair</t>
  </si>
  <si>
    <t xml:space="preserve">22-Apr-2025</t>
  </si>
  <si>
    <t xml:space="preserve">Strong Asian Paints advocate. Semi-Urban Retail dealer. Key insight: Larger warranty badge on front panel</t>
  </si>
  <si>
    <t xml:space="preserve">D019</t>
  </si>
  <si>
    <t xml:space="preserve">Deepak Mishra</t>
  </si>
  <si>
    <t xml:space="preserve">13-Mar-2025</t>
  </si>
  <si>
    <t xml:space="preserve">Strong red colour dominates shelf. AP has best display units.</t>
  </si>
  <si>
    <t xml:space="preserve">Strong Asian Paints advocate. Semi-Urban Retail dealer. Key insight: Application instructions should be clearer on pack</t>
  </si>
  <si>
    <t xml:space="preserve">D020</t>
  </si>
  <si>
    <t xml:space="preserve">Priya Shah</t>
  </si>
  <si>
    <t xml:space="preserve">26-May-2025</t>
  </si>
  <si>
    <t xml:space="preserve">Strong JSW Paints advocate. Premium Retail dealer. Key insight: Simpler benefit claims — too technical currently</t>
  </si>
  <si>
    <t xml:space="preserve">D021</t>
  </si>
  <si>
    <t xml:space="preserve">Deepak Desai</t>
  </si>
  <si>
    <t xml:space="preserve">21-May-2025</t>
  </si>
  <si>
    <t xml:space="preserve">Dulux — the white and yellow is clean and premium looking from distance.</t>
  </si>
  <si>
    <t xml:space="preserve">Strong Dulux Paints advocate. Urban Retail dealer. Key insight: QR code that shows colour on walls would help selling</t>
  </si>
  <si>
    <t xml:space="preserve">D022</t>
  </si>
  <si>
    <t xml:space="preserve">Laxmi Dubey</t>
  </si>
  <si>
    <t xml:space="preserve">27-May-2025</t>
  </si>
  <si>
    <t xml:space="preserve">Birla Opus catches eye with their gold and black packaging. Looks very premium.</t>
  </si>
  <si>
    <t xml:space="preserve">Birla Opus black and gold premium range catches attention immediately.</t>
  </si>
  <si>
    <t xml:space="preserve">Birla Opus is fairly clear — their packaging copy is simple and direct.</t>
  </si>
  <si>
    <t xml:space="preserve">Birla Opus is best looking currently — matte finish, metallic accents. Very aspirational.</t>
  </si>
  <si>
    <t xml:space="preserve">Birla Opus — premium materials signal quality before opening.</t>
  </si>
  <si>
    <t xml:space="preserve">Strong Birla Opus advocate. Semi-Urban Retail dealer. Key insight: Application instructions should be clearer on pack</t>
  </si>
  <si>
    <t xml:space="preserve">D023</t>
  </si>
  <si>
    <t xml:space="preserve">Ankit Mishra</t>
  </si>
  <si>
    <t xml:space="preserve">AP first, but Birla Opus is catching up quickly especially in luxury range.</t>
  </si>
  <si>
    <t xml:space="preserve">Birla Opus is easiest — customers recognise it, less explanation needed. Dulux Paints also easy.</t>
  </si>
  <si>
    <t xml:space="preserve">Opus looks most modern premium. Very impressive first impression.</t>
  </si>
  <si>
    <t xml:space="preserve">Application instructions should be clearer on pack</t>
  </si>
  <si>
    <t xml:space="preserve">Strong Birla Opus advocate. Semi-Urban Retail dealer. Key insight: Better colour coding between interior and exterior products</t>
  </si>
  <si>
    <t xml:space="preserve">D024</t>
  </si>
  <si>
    <t xml:space="preserve">Lucknow</t>
  </si>
  <si>
    <t xml:space="preserve">Birla Opus is easiest — customers recognise it, less explanation needed. JSW Paints also easy.</t>
  </si>
  <si>
    <t xml:space="preserve">Strong Birla Opus advocate. Premium Retail dealer. Key insight: Bigger product name — customers can't read from distance</t>
  </si>
  <si>
    <t xml:space="preserve">D025</t>
  </si>
  <si>
    <t xml:space="preserve">Arjun Dubey</t>
  </si>
  <si>
    <t xml:space="preserve">Strong Birla Opus advocate. Premium Retail dealer. Key insight: Better colour coding between interior and exterior products</t>
  </si>
  <si>
    <t xml:space="preserve">D026</t>
  </si>
  <si>
    <t xml:space="preserve">Deepak Chatterjee</t>
  </si>
  <si>
    <t xml:space="preserve">22-May-2025</t>
  </si>
  <si>
    <t xml:space="preserve">Dulux Paints is easiest — customers recognise it, less explanation needed. JSW Paints also easy.</t>
  </si>
  <si>
    <t xml:space="preserve">Strong Dulux Paints advocate. Semi-Urban Retail dealer. Key insight: QR code that shows colour on walls would help selling</t>
  </si>
  <si>
    <t xml:space="preserve">D027</t>
  </si>
  <si>
    <t xml:space="preserve">Harish Verma</t>
  </si>
  <si>
    <t xml:space="preserve">09-May-2025</t>
  </si>
  <si>
    <t xml:space="preserve">D028</t>
  </si>
  <si>
    <t xml:space="preserve">Ramesh Malhotra</t>
  </si>
  <si>
    <t xml:space="preserve">11-May-2025</t>
  </si>
  <si>
    <t xml:space="preserve">Strong Dulux Paints advocate. Semi-Urban Retail dealer. Key insight: Eco certifications more visible — customers care about this now</t>
  </si>
  <si>
    <t xml:space="preserve">D029</t>
  </si>
  <si>
    <t xml:space="preserve">Dinesh Tiwari</t>
  </si>
  <si>
    <t xml:space="preserve">04-Mar-2025</t>
  </si>
  <si>
    <t xml:space="preserve">Birla Opus — the gold lid and dark label is very eye-catching.</t>
  </si>
  <si>
    <t xml:space="preserve">Eco certifications more visible — customers care about this now</t>
  </si>
  <si>
    <t xml:space="preserve">Strong Birla Opus advocate. Urban Retail dealer. Key insight: Clearer hierarchy between premium and standard ranges</t>
  </si>
  <si>
    <t xml:space="preserve">D030</t>
  </si>
  <si>
    <t xml:space="preserve">Kavita Tiwari</t>
  </si>
  <si>
    <t xml:space="preserve">15-Mar-2025</t>
  </si>
  <si>
    <t xml:space="preserve">📋  🔨 CONTRACTOR — INTERVIEW DATA COLLECTION</t>
  </si>
  <si>
    <t xml:space="preserve">SECTION 1: Brand Recognition</t>
  </si>
  <si>
    <t xml:space="preserve">SECTION 2: Product Clarity</t>
  </si>
  <si>
    <t xml:space="preserve">SECTION 3: Quality &amp; Trust</t>
  </si>
  <si>
    <t xml:space="preserve">C001</t>
  </si>
  <si>
    <t xml:space="preserve">Bharat Nair</t>
  </si>
  <si>
    <t xml:space="preserve">12-May-2025</t>
  </si>
  <si>
    <t xml:space="preserve">Residential Painter</t>
  </si>
  <si>
    <t xml:space="preserve">Opus is easy now — gold and black is very distinct. Good on site.</t>
  </si>
  <si>
    <t xml:space="preserve">Birla Opus from distance — colour and label design makes it easy. Good colour block.</t>
  </si>
  <si>
    <t xml:space="preserve">Sometimes confuse Asian Paints variants — similar packs in standard range.</t>
  </si>
  <si>
    <t xml:space="preserve">AP has clearest interior/exterior differentiation. Birla Opus also good but not perfect.</t>
  </si>
  <si>
    <t xml:space="preserve">Birla Opus clearest product naming — range names make sense even on site.</t>
  </si>
  <si>
    <t xml:space="preserve">Opus packaging is impressive — premium feel, sturdy construction.</t>
  </si>
  <si>
    <t xml:space="preserve">Opus gives confidence especially in premium projects — clients impress.</t>
  </si>
  <si>
    <t xml:space="preserve">Opus old packaging before rebrand was very outdated. New one is good.</t>
  </si>
  <si>
    <t xml:space="preserve">Experienced contractor. Key feedback: QR code that shows colour on walls would help selling</t>
  </si>
  <si>
    <t xml:space="preserve">C002</t>
  </si>
  <si>
    <t xml:space="preserve">Arjun Joshi</t>
  </si>
  <si>
    <t xml:space="preserve">17-Mar-2025</t>
  </si>
  <si>
    <t xml:space="preserve">Site Contractor</t>
  </si>
  <si>
    <t xml:space="preserve">Birla Opus — the new packaging stands out even in poor light on site.</t>
  </si>
  <si>
    <t xml:space="preserve">Experienced contractor. Key feedback: Bigger product name — customers can't read from distance</t>
  </si>
  <si>
    <t xml:space="preserve">C003</t>
  </si>
  <si>
    <t xml:space="preserve">Rajesh Dubey</t>
  </si>
  <si>
    <t xml:space="preserve">Independent Applicator</t>
  </si>
  <si>
    <t xml:space="preserve">AP — the red bucket is unmistakeable from across the room. Never confuse it.</t>
  </si>
  <si>
    <t xml:space="preserve">Asian Paints from distance — colour and label design makes it easy. Good colour block.</t>
  </si>
  <si>
    <t xml:space="preserve">Sometimes confuse Dulux Paints variants — similar packs in standard range.</t>
  </si>
  <si>
    <t xml:space="preserve">Opus has clearest interior/exterior differentiation. Asian Paints also good but not perfect.</t>
  </si>
  <si>
    <t xml:space="preserve">Asian Paints clearest product naming — range names make sense even on site.</t>
  </si>
  <si>
    <t xml:space="preserve">AP looks high quality — heavy label, good print, reliable lid.</t>
  </si>
  <si>
    <t xml:space="preserve">AP always gives confidence — proven product inside, consistent every time.</t>
  </si>
  <si>
    <t xml:space="preserve">AP Apcolite standard range looks old-fashioned now.</t>
  </si>
  <si>
    <t xml:space="preserve">Experienced contractor. Key feedback: More visual differentiation between product grades</t>
  </si>
  <si>
    <t xml:space="preserve">C004</t>
  </si>
  <si>
    <t xml:space="preserve">Vikram Tiwari</t>
  </si>
  <si>
    <t xml:space="preserve">16-Apr-2025</t>
  </si>
  <si>
    <t xml:space="preserve">Dulux — the blue and white is clean, easy to read. Pick it up fast.</t>
  </si>
  <si>
    <t xml:space="preserve">Dulux Paints from distance — colour and label design makes it easy. Good colour block.</t>
  </si>
  <si>
    <t xml:space="preserve">Sometimes confuse Birla Opus variants — similar packs in standard range.</t>
  </si>
  <si>
    <t xml:space="preserve">AP has clearest interior/exterior differentiation. Dulux Paints also good but not perfect.</t>
  </si>
  <si>
    <t xml:space="preserve">Dulux Paints clearest product naming — range names make sense even on site.</t>
  </si>
  <si>
    <t xml:space="preserve">Dulux looks professional — clean, international quality feel.</t>
  </si>
  <si>
    <t xml:space="preserve">Dulux exterior pack gives confidence for weather protection claims.</t>
  </si>
  <si>
    <t xml:space="preserve">Dulux could modernise — feels like 2010s design language currently.</t>
  </si>
  <si>
    <t xml:space="preserve">Experienced contractor. Key feedback: Pack size printed bigger — hard to tell 1L from 4L quickly</t>
  </si>
  <si>
    <t xml:space="preserve">C005</t>
  </si>
  <si>
    <t xml:space="preserve">Manoj Tiwari</t>
  </si>
  <si>
    <t xml:space="preserve">24-Apr-2025</t>
  </si>
  <si>
    <t xml:space="preserve">JSW we sometimes confuse with other brands. Pack looks a bit similar to cheaper brands.</t>
  </si>
  <si>
    <t xml:space="preserve">JSW Paints from distance — colour and label design makes it easy. Good colour block.</t>
  </si>
  <si>
    <t xml:space="preserve">AP has clearest interior/exterior differentiation. JSW Paints also good but not perfect.</t>
  </si>
  <si>
    <t xml:space="preserve">JSW Paints clearest product naming — range names make sense even on site.</t>
  </si>
  <si>
    <t xml:space="preserve">JSW quality looks acceptable but label sometimes unclear after handling.</t>
  </si>
  <si>
    <t xml:space="preserve">JSW I need to explain more to clients — pack doesn't speak for itself yet.</t>
  </si>
  <si>
    <t xml:space="preserve">JSW looks most outdated compared to Opus and AP premium range.</t>
  </si>
  <si>
    <t xml:space="preserve">C006</t>
  </si>
  <si>
    <t xml:space="preserve">Ravi Kumar</t>
  </si>
  <si>
    <t xml:space="preserve">05-Apr-2025</t>
  </si>
  <si>
    <t xml:space="preserve">Waterproofing Contractor</t>
  </si>
  <si>
    <t xml:space="preserve">JSW takes more time to identify. We read the label carefully to confirm.</t>
  </si>
  <si>
    <t xml:space="preserve">JSW sometimes client questions when they see pack — needs stronger trust signals.</t>
  </si>
  <si>
    <t xml:space="preserve">JSW needs urgent packaging update — looks behind competitors.</t>
  </si>
  <si>
    <t xml:space="preserve">Experienced contractor. Key feedback: Clearer hierarchy between premium and standard ranges</t>
  </si>
  <si>
    <t xml:space="preserve">C007</t>
  </si>
  <si>
    <t xml:space="preserve">Pooja Rao</t>
  </si>
  <si>
    <t xml:space="preserve">30-Mar-2025</t>
  </si>
  <si>
    <t xml:space="preserve">C008</t>
  </si>
  <si>
    <t xml:space="preserve">Mohan Shah</t>
  </si>
  <si>
    <t xml:space="preserve">C009</t>
  </si>
  <si>
    <t xml:space="preserve">Mohan Singh</t>
  </si>
  <si>
    <t xml:space="preserve">17-Apr-2025</t>
  </si>
  <si>
    <t xml:space="preserve">Sometimes confuse JSW Paints variants — similar packs in standard range.</t>
  </si>
  <si>
    <t xml:space="preserve">Dulux Weathershield — pack design reinforces the product promise.</t>
  </si>
  <si>
    <t xml:space="preserve">Dulux standard range feels a bit traditional — not cutting edge design.</t>
  </si>
  <si>
    <t xml:space="preserve">Experienced contractor. Key feedback: Eco certifications more visible — customers care about this now</t>
  </si>
  <si>
    <t xml:space="preserve">C010</t>
  </si>
  <si>
    <t xml:space="preserve">Mohan Menon</t>
  </si>
  <si>
    <t xml:space="preserve">06-Apr-2025</t>
  </si>
  <si>
    <t xml:space="preserve">Asian Paints always. On site we pick it up instantly, no reading needed.</t>
  </si>
  <si>
    <t xml:space="preserve">Some of AP economy range looks dated — not premium enough.</t>
  </si>
  <si>
    <t xml:space="preserve">C011</t>
  </si>
  <si>
    <t xml:space="preserve">Deepak Yadav</t>
  </si>
  <si>
    <t xml:space="preserve">JSW pack is decent — but not as premium as AP or Opus yet.</t>
  </si>
  <si>
    <t xml:space="preserve">Experienced contractor. Key feedback: Application instructions should be clearer on pack</t>
  </si>
  <si>
    <t xml:space="preserve">C012</t>
  </si>
  <si>
    <t xml:space="preserve">Rahul Gupta</t>
  </si>
  <si>
    <t xml:space="preserve">Asian Paints — pack material is solid, label stays on during work.</t>
  </si>
  <si>
    <t xml:space="preserve">Experienced contractor. Key feedback: Larger warranty badge on front panel</t>
  </si>
  <si>
    <t xml:space="preserve">C013</t>
  </si>
  <si>
    <t xml:space="preserve">Ramesh Kumar</t>
  </si>
  <si>
    <t xml:space="preserve">Asian Paints — 20 years using it, pack signals reliability immediately.</t>
  </si>
  <si>
    <t xml:space="preserve">C014</t>
  </si>
  <si>
    <t xml:space="preserve">Kiran Yadav</t>
  </si>
  <si>
    <t xml:space="preserve">11-Apr-2025</t>
  </si>
  <si>
    <t xml:space="preserve">C015</t>
  </si>
  <si>
    <t xml:space="preserve">Sunita Das</t>
  </si>
  <si>
    <t xml:space="preserve">02-May-2025</t>
  </si>
  <si>
    <t xml:space="preserve">C016</t>
  </si>
  <si>
    <t xml:space="preserve">Amit Mehta</t>
  </si>
  <si>
    <t xml:space="preserve">Interior Specialist</t>
  </si>
  <si>
    <t xml:space="preserve">Dulux pack looks sturdy and reliable for site work.</t>
  </si>
  <si>
    <t xml:space="preserve">C017</t>
  </si>
  <si>
    <t xml:space="preserve">Manoj Sharma</t>
  </si>
  <si>
    <t xml:space="preserve">Hyderabad</t>
  </si>
  <si>
    <t xml:space="preserve">C018</t>
  </si>
  <si>
    <t xml:space="preserve">Vinod Menon</t>
  </si>
  <si>
    <t xml:space="preserve">23-Mar-2025</t>
  </si>
  <si>
    <t xml:space="preserve">C019</t>
  </si>
  <si>
    <t xml:space="preserve">Mohan Sharma</t>
  </si>
  <si>
    <t xml:space="preserve">10-Mar-2025</t>
  </si>
  <si>
    <t xml:space="preserve">Experienced contractor. Key feedback: Better colour coding between interior and exterior products</t>
  </si>
  <si>
    <t xml:space="preserve">C020</t>
  </si>
  <si>
    <t xml:space="preserve">Ramesh Sharma</t>
  </si>
  <si>
    <t xml:space="preserve">22-Mar-2025</t>
  </si>
  <si>
    <t xml:space="preserve">C021</t>
  </si>
  <si>
    <t xml:space="preserve">Mohan Dubey</t>
  </si>
  <si>
    <t xml:space="preserve">07-May-2025</t>
  </si>
  <si>
    <t xml:space="preserve">Birla Opus — metallic label looks high quality, gives client confidence.</t>
  </si>
  <si>
    <t xml:space="preserve">Birla Opus — the pack looks so premium that client trusts product too.</t>
  </si>
  <si>
    <t xml:space="preserve">C022</t>
  </si>
  <si>
    <t xml:space="preserve">Vikram Sinha</t>
  </si>
  <si>
    <t xml:space="preserve">C023</t>
  </si>
  <si>
    <t xml:space="preserve">Ankit Reddy</t>
  </si>
  <si>
    <t xml:space="preserve">17-May-2025</t>
  </si>
  <si>
    <t xml:space="preserve">C024</t>
  </si>
  <si>
    <t xml:space="preserve">Surat</t>
  </si>
  <si>
    <t xml:space="preserve">C025</t>
  </si>
  <si>
    <t xml:space="preserve">Sunita Chatterjee</t>
  </si>
  <si>
    <t xml:space="preserve">C026</t>
  </si>
  <si>
    <t xml:space="preserve">Manoj Yadav</t>
  </si>
  <si>
    <t xml:space="preserve">C027</t>
  </si>
  <si>
    <t xml:space="preserve">Harish Shah</t>
  </si>
  <si>
    <t xml:space="preserve">30-Apr-2025</t>
  </si>
  <si>
    <t xml:space="preserve">C028</t>
  </si>
  <si>
    <t xml:space="preserve">Nitin Patel</t>
  </si>
  <si>
    <t xml:space="preserve">30-May-2025</t>
  </si>
  <si>
    <t xml:space="preserve">C029</t>
  </si>
  <si>
    <t xml:space="preserve">Laxmi Desai</t>
  </si>
  <si>
    <t xml:space="preserve">C030</t>
  </si>
  <si>
    <t xml:space="preserve">Tarun Mehta</t>
  </si>
  <si>
    <t xml:space="preserve">24-May-2025</t>
  </si>
  <si>
    <t xml:space="preserve">📋  🏭 DISTRIBUTOR WHOLESALER — INTERVIEW DATA COLLECTION</t>
  </si>
  <si>
    <t xml:space="preserve">SKU ARCHITECTURE</t>
  </si>
  <si>
    <t xml:space="preserve">WAREHOUSE OPS</t>
  </si>
  <si>
    <t xml:space="preserve">VISUAL CONSISTENCY</t>
  </si>
  <si>
    <t xml:space="preserve">DW001</t>
  </si>
  <si>
    <t xml:space="preserve">Nandini Sharma</t>
  </si>
  <si>
    <t xml:space="preserve">09-Apr-2025</t>
  </si>
  <si>
    <t xml:space="preserve">Sub-Distributor</t>
  </si>
  <si>
    <t xml:space="preserve">Birla Opus is well organised — premium, mid, economy all clearly differentiated.</t>
  </si>
  <si>
    <t xml:space="preserve">Birla Opus clearest SKU differentiation — colour coding and naming are consistent.</t>
  </si>
  <si>
    <t xml:space="preserve">JSW creates most confusion — similar pack colours in different ranges.</t>
  </si>
  <si>
    <t xml:space="preserve">Birla Opus easiest in warehouse — strong colour identity and clear size marking on pack.</t>
  </si>
  <si>
    <t xml:space="preserve">Asian Paints has strongest visual consistency. Birla Opus improving.</t>
  </si>
  <si>
    <t xml:space="preserve">Distributor insight: Simpler benefit claims — too technical currently</t>
  </si>
  <si>
    <t xml:space="preserve">DW002</t>
  </si>
  <si>
    <t xml:space="preserve">Vinod Reddy</t>
  </si>
  <si>
    <t xml:space="preserve">18-Mar-2025</t>
  </si>
  <si>
    <t xml:space="preserve">C&amp;F Agent</t>
  </si>
  <si>
    <t xml:space="preserve">AP is best organised — clear range hierarchy, consistent visual across all SKUs.</t>
  </si>
  <si>
    <t xml:space="preserve">Asian Paints clearest SKU differentiation — colour coding and naming are consistent.</t>
  </si>
  <si>
    <t xml:space="preserve">Asian Paints easiest in warehouse — strong colour identity and clear size marking on pack.</t>
  </si>
  <si>
    <t xml:space="preserve">Birla Opus has strongest visual consistency. Asian Paints improving.</t>
  </si>
  <si>
    <t xml:space="preserve">Distributor insight: Clearer hierarchy between premium and standard ranges</t>
  </si>
  <si>
    <t xml:space="preserve">DW003</t>
  </si>
  <si>
    <t xml:space="preserve">Deepak Sinha</t>
  </si>
  <si>
    <t xml:space="preserve">JSW has work to do — similar looking packs in warehouse cause picking errors.</t>
  </si>
  <si>
    <t xml:space="preserve">JSW Paints clearest SKU differentiation — colour coding and naming are consistent.</t>
  </si>
  <si>
    <t xml:space="preserve">Dulux creates most confusion — similar pack colours in different ranges.</t>
  </si>
  <si>
    <t xml:space="preserve">JSW Paints easiest in warehouse — strong colour identity and clear size marking on pack.</t>
  </si>
  <si>
    <t xml:space="preserve">Asian Paints has strongest visual consistency. JSW Paints improving.</t>
  </si>
  <si>
    <t xml:space="preserve">Distributor insight: QR code that shows colour on walls would help selling</t>
  </si>
  <si>
    <t xml:space="preserve">DW004</t>
  </si>
  <si>
    <t xml:space="preserve">Tarun Verma</t>
  </si>
  <si>
    <t xml:space="preserve">24-Mar-2025</t>
  </si>
  <si>
    <t xml:space="preserve">Regional Wholesaler</t>
  </si>
  <si>
    <t xml:space="preserve">Dulux is consistent — same visual language across interior, exterior, wood range.</t>
  </si>
  <si>
    <t xml:space="preserve">Dulux Paints clearest SKU differentiation — colour coding and naming are consistent.</t>
  </si>
  <si>
    <t xml:space="preserve">Dulux Paints easiest in warehouse — strong colour identity and clear size marking on pack.</t>
  </si>
  <si>
    <t xml:space="preserve">Asian Paints has strongest visual consistency. Dulux Paints improving.</t>
  </si>
  <si>
    <t xml:space="preserve">Distributor insight: Pack size printed bigger — hard to tell 1L from 4L quickly</t>
  </si>
  <si>
    <t xml:space="preserve">DW005</t>
  </si>
  <si>
    <t xml:space="preserve">Laxmi Yadav</t>
  </si>
  <si>
    <t xml:space="preserve">31-Mar-2025</t>
  </si>
  <si>
    <t xml:space="preserve">Metro Distributor</t>
  </si>
  <si>
    <t xml:space="preserve">JSW organisation is weakest — need clearer differentiation especially primer vs putty.</t>
  </si>
  <si>
    <t xml:space="preserve">Distributor insight: Application instructions should be clearer on pack</t>
  </si>
  <si>
    <t xml:space="preserve">DW006</t>
  </si>
  <si>
    <t xml:space="preserve">Sunita Nair</t>
  </si>
  <si>
    <t xml:space="preserve">Asian Paints portfolio is very well structured. Warehouse staff can identify quickly.</t>
  </si>
  <si>
    <t xml:space="preserve">DW007</t>
  </si>
  <si>
    <t xml:space="preserve">Nandini Das</t>
  </si>
  <si>
    <t xml:space="preserve">26-Apr-2025</t>
  </si>
  <si>
    <t xml:space="preserve">Opus SKU architecture is strong — new pack design made warehouse handling much easier.</t>
  </si>
  <si>
    <t xml:space="preserve">Distributor insight: Better colour coding between interior and exterior products</t>
  </si>
  <si>
    <t xml:space="preserve">DW008</t>
  </si>
  <si>
    <t xml:space="preserve">Laxmi Gupta</t>
  </si>
  <si>
    <t xml:space="preserve">DW009</t>
  </si>
  <si>
    <t xml:space="preserve">Geeta Yadav</t>
  </si>
  <si>
    <t xml:space="preserve">14-Mar-2025</t>
  </si>
  <si>
    <t xml:space="preserve">DW010</t>
  </si>
  <si>
    <t xml:space="preserve">Kiran Joshi</t>
  </si>
  <si>
    <t xml:space="preserve">05-May-2025</t>
  </si>
  <si>
    <t xml:space="preserve">Distributor insight: Eco certifications more visible — customers care about this now</t>
  </si>
  <si>
    <t xml:space="preserve">DW011</t>
  </si>
  <si>
    <t xml:space="preserve">Dinesh Mishra</t>
  </si>
  <si>
    <t xml:space="preserve">Distributor insight: Bigger product name — customers can't read from distance</t>
  </si>
  <si>
    <t xml:space="preserve">DW012</t>
  </si>
  <si>
    <t xml:space="preserve">Nandini Nair</t>
  </si>
  <si>
    <t xml:space="preserve">11-Mar-2025</t>
  </si>
  <si>
    <t xml:space="preserve">DW013</t>
  </si>
  <si>
    <t xml:space="preserve">Ganesh Singh</t>
  </si>
  <si>
    <t xml:space="preserve">23-May-2025</t>
  </si>
  <si>
    <t xml:space="preserve">Distributor insight: Larger warranty badge on front panel</t>
  </si>
  <si>
    <t xml:space="preserve">DW014</t>
  </si>
  <si>
    <t xml:space="preserve">Suresh Mehta</t>
  </si>
  <si>
    <t xml:space="preserve">DW015</t>
  </si>
  <si>
    <t xml:space="preserve">Arjun Kumar</t>
  </si>
  <si>
    <t xml:space="preserve">📋  👤 CUSTOMER — INTERVIEW DATA COLLECTION</t>
  </si>
  <si>
    <t xml:space="preserve">CUSTOMER PERCEPTION</t>
  </si>
  <si>
    <t xml:space="preserve">PURCHASE INTENT</t>
  </si>
  <si>
    <t xml:space="preserve">CU001</t>
  </si>
  <si>
    <t xml:space="preserve">Rahul Iyer</t>
  </si>
  <si>
    <t xml:space="preserve">Urban Homeowner</t>
  </si>
  <si>
    <t xml:space="preserve">Asian Paints — the pack looks trustworthy and well-designed.</t>
  </si>
  <si>
    <t xml:space="preserve">AP looks most premium to me — it's the brand I see everywhere in good homes.</t>
  </si>
  <si>
    <t xml:space="preserve">Asian Paints — long track record and I see it in good quality homes.</t>
  </si>
  <si>
    <t xml:space="preserve">Dulux Paints is easiest — product names make sense without technical knowledge.</t>
  </si>
  <si>
    <t xml:space="preserve">AP — I've seen it in every good home I know. Natural first choice.</t>
  </si>
  <si>
    <t xml:space="preserve">Customer segment: Urban Homeowner. Paint decision maker: self.</t>
  </si>
  <si>
    <t xml:space="preserve">CU002</t>
  </si>
  <si>
    <t xml:space="preserve">Vikram Yadav</t>
  </si>
  <si>
    <t xml:space="preserve">First-time Buyer</t>
  </si>
  <si>
    <t xml:space="preserve">Dulux — clean white and blue looks fresh and reliable. Like a hospital brand almost.</t>
  </si>
  <si>
    <t xml:space="preserve">Dulux — minimal, clean, international. Feels premium without being loud.</t>
  </si>
  <si>
    <t xml:space="preserve">Dulux — international brand. Global quality standard.</t>
  </si>
  <si>
    <t xml:space="preserve">Asian Paints is easiest — product names make sense without technical knowledge.</t>
  </si>
  <si>
    <t xml:space="preserve">Dulux — for exterior I trust Weathershield most. Good track record.</t>
  </si>
  <si>
    <t xml:space="preserve">Customer segment: First-time Buyer. Paint decision maker: contractor-influenced.</t>
  </si>
  <si>
    <t xml:space="preserve">CU003</t>
  </si>
  <si>
    <t xml:space="preserve">Nitin Desai</t>
  </si>
  <si>
    <t xml:space="preserve">29-Apr-2025</t>
  </si>
  <si>
    <t xml:space="preserve">Customer segment: First-time Buyer. Paint decision maker: self.</t>
  </si>
  <si>
    <t xml:space="preserve">CU004</t>
  </si>
  <si>
    <t xml:space="preserve">Renovation Buyer</t>
  </si>
  <si>
    <t xml:space="preserve">Asian Paints catches my eye first — the red colour is very striking on shelf.</t>
  </si>
  <si>
    <t xml:space="preserve">Asian Paints Royale — the gold and royal packaging screams premium.</t>
  </si>
  <si>
    <t xml:space="preserve">Customer segment: Renovation Buyer. Paint decision maker: self.</t>
  </si>
  <si>
    <t xml:space="preserve">CU005</t>
  </si>
  <si>
    <t xml:space="preserve">Geeta Joshi</t>
  </si>
  <si>
    <t xml:space="preserve">Luxury Segment</t>
  </si>
  <si>
    <t xml:space="preserve">I didn't notice JSW much — it doesn't stand out as much as AP or Opus.</t>
  </si>
  <si>
    <t xml:space="preserve">Honestly not JSW — it looks more mid-range to me currently.</t>
  </si>
  <si>
    <t xml:space="preserve">JSW I don't know well enough yet. Need more brand presence.</t>
  </si>
  <si>
    <t xml:space="preserve">JSW if price is better — Any Colour One Price is a good concept for me.</t>
  </si>
  <si>
    <t xml:space="preserve">Customer segment: Luxury Segment. Paint decision maker: self.</t>
  </si>
  <si>
    <t xml:space="preserve">CU006</t>
  </si>
  <si>
    <t xml:space="preserve">Meera Singh</t>
  </si>
  <si>
    <t xml:space="preserve">Dulux feels trustworthy — clean design, clear claims, no gimmicks.</t>
  </si>
  <si>
    <t xml:space="preserve">Dulux for international quality feeling. The packaging is clean and trustworthy.</t>
  </si>
  <si>
    <t xml:space="preserve">CU007</t>
  </si>
  <si>
    <t xml:space="preserve">Vinod Yadav</t>
  </si>
  <si>
    <t xml:space="preserve">04-Apr-2025</t>
  </si>
  <si>
    <t xml:space="preserve">Birla Opus — the gold packaging is very premium looking. Feels expensive.</t>
  </si>
  <si>
    <t xml:space="preserve">Birla Opus looks the most expensive and modern of all of them.</t>
  </si>
  <si>
    <t xml:space="preserve">Opus — Aditya Birla brand. That gives automatic trust for me.</t>
  </si>
  <si>
    <t xml:space="preserve">Birla Opus for the living room — it looks most premium for my budget.</t>
  </si>
  <si>
    <t xml:space="preserve">CU008</t>
  </si>
  <si>
    <t xml:space="preserve">Nitin Pandey</t>
  </si>
  <si>
    <t xml:space="preserve">Customer segment: Luxury Segment. Paint decision maker: contractor-influenced.</t>
  </si>
  <si>
    <t xml:space="preserve">CU009</t>
  </si>
  <si>
    <t xml:space="preserve">Mohan Gupta</t>
  </si>
  <si>
    <t xml:space="preserve">Contractor Client</t>
  </si>
  <si>
    <t xml:space="preserve">AP — I always notice it first. Strong presence, familiar brand.</t>
  </si>
  <si>
    <t xml:space="preserve">AP — it's in my parents' house, it's everywhere. Just trusted.</t>
  </si>
  <si>
    <t xml:space="preserve">Customer segment: Contractor Client. Paint decision maker: self.</t>
  </si>
  <si>
    <t xml:space="preserve">CU010</t>
  </si>
  <si>
    <t xml:space="preserve">Meera Chatterjee</t>
  </si>
  <si>
    <t xml:space="preserve">JSW looks okay but I needed to read it to know what it was.</t>
  </si>
  <si>
    <t xml:space="preserve">JSW is decent but not instantly trusted — I'd want recommendation first.</t>
  </si>
  <si>
    <t xml:space="preserve">Customer segment: Renovation Buyer. Paint decision maker: contractor-influenced.</t>
  </si>
  <si>
    <t xml:space="preserve">CU011</t>
  </si>
  <si>
    <t xml:space="preserve">Sunita Patel</t>
  </si>
  <si>
    <t xml:space="preserve">09-Mar-2025</t>
  </si>
  <si>
    <t xml:space="preserve">JSW because of the unique price point and if contractor recommends it.</t>
  </si>
  <si>
    <t xml:space="preserve">CU012</t>
  </si>
  <si>
    <t xml:space="preserve">Ravi Das</t>
  </si>
  <si>
    <t xml:space="preserve">I'd choose Asian Paints — brand trust, good colours, proven quality.</t>
  </si>
  <si>
    <t xml:space="preserve">CU013</t>
  </si>
  <si>
    <t xml:space="preserve">Ganesh Chatterjee</t>
  </si>
  <si>
    <t xml:space="preserve">AP pack feels reliable. The warranty information gives confidence.</t>
  </si>
  <si>
    <t xml:space="preserve">CU014</t>
  </si>
  <si>
    <t xml:space="preserve">Amit Joshi</t>
  </si>
  <si>
    <t xml:space="preserve">CU015</t>
  </si>
  <si>
    <t xml:space="preserve">Vikram Mishra</t>
  </si>
  <si>
    <t xml:space="preserve">Premium Consumer</t>
  </si>
  <si>
    <t xml:space="preserve">Customer segment: Premium Consumer. Paint decision maker: self.</t>
  </si>
  <si>
    <t xml:space="preserve">CU016</t>
  </si>
  <si>
    <t xml:space="preserve">Sunil Mehta</t>
  </si>
  <si>
    <t xml:space="preserve">CU017</t>
  </si>
  <si>
    <t xml:space="preserve">Sanjay Nair</t>
  </si>
  <si>
    <t xml:space="preserve">Opus — very modern and stylish. Looks like a luxury product.</t>
  </si>
  <si>
    <t xml:space="preserve">Birla Opus — the pack design itself suggests premium quality inside.</t>
  </si>
  <si>
    <t xml:space="preserve">Birla Opus — the colour range and premium feel matches what I want.</t>
  </si>
  <si>
    <t xml:space="preserve">CU018</t>
  </si>
  <si>
    <t xml:space="preserve">Sanjay Bose</t>
  </si>
  <si>
    <t xml:space="preserve">CU019</t>
  </si>
  <si>
    <t xml:space="preserve">Birla Opus — looks very expensive and premium. Trust the quality.</t>
  </si>
  <si>
    <t xml:space="preserve">CU020</t>
  </si>
  <si>
    <t xml:space="preserve">Ashok Verma</t>
  </si>
  <si>
    <t xml:space="preserve">Birla Opus for sure — black and gold is the most luxury looking.</t>
  </si>
  <si>
    <t xml:space="preserve">CU021</t>
  </si>
  <si>
    <t xml:space="preserve">Ravi Mehta</t>
  </si>
  <si>
    <t xml:space="preserve">21-Mar-2025</t>
  </si>
  <si>
    <t xml:space="preserve">CU022</t>
  </si>
  <si>
    <t xml:space="preserve">Harish Chatterjee</t>
  </si>
  <si>
    <t xml:space="preserve">CU023</t>
  </si>
  <si>
    <t xml:space="preserve">Ravi Gupta</t>
  </si>
  <si>
    <t xml:space="preserve">19-May-2025</t>
  </si>
  <si>
    <t xml:space="preserve">Customer segment: Premium Consumer. Paint decision maker: contractor-influenced.</t>
  </si>
  <si>
    <t xml:space="preserve">CU024</t>
  </si>
  <si>
    <t xml:space="preserve">Ankit Chatterjee</t>
  </si>
  <si>
    <t xml:space="preserve">13-May-2025</t>
  </si>
  <si>
    <t xml:space="preserve">DIY Consumer</t>
  </si>
  <si>
    <t xml:space="preserve">Customer segment: DIY Consumer. Paint decision maker: self.</t>
  </si>
  <si>
    <t xml:space="preserve">CU025</t>
  </si>
  <si>
    <t xml:space="preserve">Sunil Chatterjee</t>
  </si>
  <si>
    <t xml:space="preserve">CU026</t>
  </si>
  <si>
    <t xml:space="preserve">Manoj Gupta</t>
  </si>
  <si>
    <t xml:space="preserve">23-Apr-2025</t>
  </si>
  <si>
    <t xml:space="preserve">Opus — very premium feel. Like a designer brand.</t>
  </si>
  <si>
    <t xml:space="preserve">CU027</t>
  </si>
  <si>
    <t xml:space="preserve">Ganesh Menon</t>
  </si>
  <si>
    <t xml:space="preserve">21-Apr-2025</t>
  </si>
  <si>
    <t xml:space="preserve">CU028</t>
  </si>
  <si>
    <t xml:space="preserve">Meera Mishra</t>
  </si>
  <si>
    <t xml:space="preserve">19-Mar-2025</t>
  </si>
  <si>
    <t xml:space="preserve">CU029</t>
  </si>
  <si>
    <t xml:space="preserve">CU030</t>
  </si>
  <si>
    <t xml:space="preserve">Prakash Tiwari</t>
  </si>
  <si>
    <t xml:space="preserve">CU031</t>
  </si>
  <si>
    <t xml:space="preserve">Ashok Patel</t>
  </si>
  <si>
    <t xml:space="preserve">CU032</t>
  </si>
  <si>
    <t xml:space="preserve">CU033</t>
  </si>
  <si>
    <t xml:space="preserve">Harish Yadav</t>
  </si>
  <si>
    <t xml:space="preserve">CU034</t>
  </si>
  <si>
    <t xml:space="preserve">Amit Verma</t>
  </si>
  <si>
    <t xml:space="preserve">20-Apr-2025</t>
  </si>
  <si>
    <t xml:space="preserve">CU035</t>
  </si>
  <si>
    <t xml:space="preserve">Ramesh Sinha</t>
  </si>
  <si>
    <t xml:space="preserve">📊  BRAND MENTION FREQUENCY TRACKER — Auto-tallied from all interview sheets</t>
  </si>
  <si>
    <t xml:space="preserve">This sheet auto-counts how many respondents mentioned each brand per dimension. COUNTIF formulas pull from Brand Mentioned columns in each interview sheet.</t>
  </si>
  <si>
    <t xml:space="preserve">Dimension / Question Theme</t>
  </si>
  <si>
    <t xml:space="preserve">Asian Paints
Mentions</t>
  </si>
  <si>
    <t xml:space="preserve">Birla Opus
Mentions</t>
  </si>
  <si>
    <t xml:space="preserve">Dulux Paints
Mentions</t>
  </si>
  <si>
    <t xml:space="preserve">JSW Paints
Mentions</t>
  </si>
  <si>
    <t xml:space="preserve">Total
Mentions</t>
  </si>
  <si>
    <t xml:space="preserve">AP Score
(/10)</t>
  </si>
  <si>
    <t xml:space="preserve">BO Score
(/10)</t>
  </si>
  <si>
    <t xml:space="preserve">DP Score
(/10)</t>
  </si>
  <si>
    <t xml:space="preserve">JSW Score
(/10)</t>
  </si>
  <si>
    <t xml:space="preserve">Top Brand</t>
  </si>
  <si>
    <t xml:space="preserve">Notes</t>
  </si>
  <si>
    <t xml:space="preserve">Fastest Moving / Easiest to Recommend</t>
  </si>
  <si>
    <t xml:space="preserve">First Noticed on Shelf (Visibility)</t>
  </si>
  <si>
    <t xml:space="preserve">Most Premium Looking</t>
  </si>
  <si>
    <t xml:space="preserve">Highest Trust</t>
  </si>
  <si>
    <t xml:space="preserve">Easiest to Understand</t>
  </si>
  <si>
    <t xml:space="preserve">Most Modern</t>
  </si>
  <si>
    <t xml:space="preserve">Recommended by Dealer</t>
  </si>
  <si>
    <t xml:space="preserve">Fastest Contractor Recognition</t>
  </si>
  <si>
    <t xml:space="preserve">Clearest SKU / Portfolio</t>
  </si>
  <si>
    <t xml:space="preserve">Customer Top Choice</t>
  </si>
  <si>
    <t xml:space="preserve">TOTAL MENTIONS (All Dimensions)</t>
  </si>
  <si>
    <t xml:space="preserve">🔢  SENTIMENT CODING SHEET — Score each respondent 1–10 per dimension after interview</t>
  </si>
  <si>
    <t xml:space="preserve">CODEBOOK: Best in Market=10 | Excellent=9 | Very Good=8 | Good=7 | Average=5 | Slightly Confusing=4 | Confusing=3 | Poor=2 | Very Poor=1</t>
  </si>
  <si>
    <t xml:space="preserve">Resp. ID</t>
  </si>
  <si>
    <t xml:space="preserve">Respondent Name</t>
  </si>
  <si>
    <t xml:space="preserve">Stakeholder Type</t>
  </si>
  <si>
    <t xml:space="preserve">Shelf Visibility</t>
  </si>
  <si>
    <t xml:space="preserve">Premium Perception</t>
  </si>
  <si>
    <t xml:space="preserve">Product Clarity</t>
  </si>
  <si>
    <t xml:space="preserve">SKU Clarity</t>
  </si>
  <si>
    <t xml:space="preserve">Dealer Ease</t>
  </si>
  <si>
    <t xml:space="preserve">Trust Signal</t>
  </si>
  <si>
    <t xml:space="preserve">Modernity</t>
  </si>
  <si>
    <t xml:space="preserve">Overall Score</t>
  </si>
  <si>
    <t xml:space="preserve">Weighted Avg
(/10)</t>
  </si>
  <si>
    <t xml:space="preserve">Ravi Bose</t>
  </si>
  <si>
    <t xml:space="preserve">Dealer</t>
  </si>
  <si>
    <t xml:space="preserve">Sanjay Shah</t>
  </si>
  <si>
    <t xml:space="preserve">Ganesh Gupta</t>
  </si>
  <si>
    <t xml:space="preserve">Ramesh Bose</t>
  </si>
  <si>
    <t xml:space="preserve">Kavita Dubey</t>
  </si>
  <si>
    <t xml:space="preserve">Bharat Sinha</t>
  </si>
  <si>
    <t xml:space="preserve">Vinod Pillai</t>
  </si>
  <si>
    <t xml:space="preserve">Rahul Yadav</t>
  </si>
  <si>
    <t xml:space="preserve">Bharat Das</t>
  </si>
  <si>
    <t xml:space="preserve">Amit Rao</t>
  </si>
  <si>
    <t xml:space="preserve">Kavita Malhotra</t>
  </si>
  <si>
    <t xml:space="preserve">Rahul Bose</t>
  </si>
  <si>
    <t xml:space="preserve">Dinesh Menon</t>
  </si>
  <si>
    <t xml:space="preserve">Manoj Dubey</t>
  </si>
  <si>
    <t xml:space="preserve">Geeta Gupta</t>
  </si>
  <si>
    <t xml:space="preserve">Rajesh Patel</t>
  </si>
  <si>
    <t xml:space="preserve">Amit Reddy</t>
  </si>
  <si>
    <t xml:space="preserve">Rahul Mishra</t>
  </si>
  <si>
    <t xml:space="preserve">Ganesh Rao</t>
  </si>
  <si>
    <t xml:space="preserve">Ravi Rao</t>
  </si>
  <si>
    <t xml:space="preserve">Geeta Menon</t>
  </si>
  <si>
    <t xml:space="preserve">Manoj Pillai</t>
  </si>
  <si>
    <t xml:space="preserve">Sanjay Sinha</t>
  </si>
  <si>
    <t xml:space="preserve">Pooja Pandey</t>
  </si>
  <si>
    <t xml:space="preserve">Ganesh Das</t>
  </si>
  <si>
    <t xml:space="preserve">Geeta Sinha</t>
  </si>
  <si>
    <t xml:space="preserve">Tarun Shah</t>
  </si>
  <si>
    <t xml:space="preserve">Contractor</t>
  </si>
  <si>
    <t xml:space="preserve">Nitin Mishra</t>
  </si>
  <si>
    <t xml:space="preserve">Bharat Pandey</t>
  </si>
  <si>
    <t xml:space="preserve">Ashok Das</t>
  </si>
  <si>
    <t xml:space="preserve">Ankit Bose</t>
  </si>
  <si>
    <t xml:space="preserve">Geeta Reddy</t>
  </si>
  <si>
    <t xml:space="preserve">Rajesh Joshi</t>
  </si>
  <si>
    <t xml:space="preserve">Kavita Nair</t>
  </si>
  <si>
    <t xml:space="preserve">Kavita Desai</t>
  </si>
  <si>
    <t xml:space="preserve">Sunil Pillai</t>
  </si>
  <si>
    <t xml:space="preserve">Pooja Pillai</t>
  </si>
  <si>
    <t xml:space="preserve">Vinod Shah</t>
  </si>
  <si>
    <t xml:space="preserve">Meera Mehta</t>
  </si>
  <si>
    <t xml:space="preserve">Amit Dubey</t>
  </si>
  <si>
    <t xml:space="preserve">Tarun Iyer</t>
  </si>
  <si>
    <t xml:space="preserve">Ashok Desai</t>
  </si>
  <si>
    <t xml:space="preserve">Priya Yadav</t>
  </si>
  <si>
    <t xml:space="preserve">Ankit Menon</t>
  </si>
  <si>
    <t xml:space="preserve">Harish Pandey</t>
  </si>
  <si>
    <t xml:space="preserve">Meera Pandey</t>
  </si>
  <si>
    <t xml:space="preserve">Meera Verma</t>
  </si>
  <si>
    <t xml:space="preserve">Deepak Bose</t>
  </si>
  <si>
    <t xml:space="preserve">Rajesh Nair</t>
  </si>
  <si>
    <t xml:space="preserve">Manoj Das</t>
  </si>
  <si>
    <t xml:space="preserve">Dinesh Chatterjee</t>
  </si>
  <si>
    <t xml:space="preserve">Dinesh Patel</t>
  </si>
  <si>
    <t xml:space="preserve">Distributor</t>
  </si>
  <si>
    <t xml:space="preserve">Deepak Rao</t>
  </si>
  <si>
    <t xml:space="preserve">Bharat Pillai</t>
  </si>
  <si>
    <t xml:space="preserve">Geeta Singh</t>
  </si>
  <si>
    <t xml:space="preserve">Sanjay Sharma</t>
  </si>
  <si>
    <t xml:space="preserve">Kiran Rao</t>
  </si>
  <si>
    <t xml:space="preserve">Harish Desai</t>
  </si>
  <si>
    <t xml:space="preserve">Sunil Shah</t>
  </si>
  <si>
    <t xml:space="preserve">Manoj Desai</t>
  </si>
  <si>
    <t xml:space="preserve">Priya Chatterjee</t>
  </si>
  <si>
    <t xml:space="preserve">Dinesh Pandey</t>
  </si>
  <si>
    <t xml:space="preserve">Suresh Gupta</t>
  </si>
  <si>
    <t xml:space="preserve">Suresh Iyer</t>
  </si>
  <si>
    <t xml:space="preserve">Customer</t>
  </si>
  <si>
    <t xml:space="preserve">Vinod Gupta</t>
  </si>
  <si>
    <t xml:space="preserve">Sunil Patel</t>
  </si>
  <si>
    <t xml:space="preserve">Deepak Shah</t>
  </si>
  <si>
    <t xml:space="preserve">Vinod Verma</t>
  </si>
  <si>
    <t xml:space="preserve">Prakash Joshi</t>
  </si>
  <si>
    <t xml:space="preserve">Harish Malhotra</t>
  </si>
  <si>
    <t xml:space="preserve">Amit Shah</t>
  </si>
  <si>
    <t xml:space="preserve">Kiran Menon</t>
  </si>
  <si>
    <t xml:space="preserve">Prakash Chatterjee</t>
  </si>
  <si>
    <t xml:space="preserve">Ankit Pillai</t>
  </si>
  <si>
    <t xml:space="preserve">Nitin Sharma</t>
  </si>
  <si>
    <t xml:space="preserve">Bharat Malhotra</t>
  </si>
  <si>
    <t xml:space="preserve">Sunil Dubey</t>
  </si>
  <si>
    <t xml:space="preserve">Harish Gupta</t>
  </si>
  <si>
    <t xml:space="preserve">Ramesh Rao</t>
  </si>
  <si>
    <t xml:space="preserve">Ganesh Kumar</t>
  </si>
  <si>
    <t xml:space="preserve">Ramesh Das</t>
  </si>
  <si>
    <t xml:space="preserve">Deepak Gupta</t>
  </si>
  <si>
    <t xml:space="preserve">Sanjay Tiwari</t>
  </si>
  <si>
    <t xml:space="preserve">Ganesh Nair</t>
  </si>
  <si>
    <t xml:space="preserve">Sunita Desai</t>
  </si>
  <si>
    <t xml:space="preserve">Meera Shah</t>
  </si>
  <si>
    <t xml:space="preserve">Nandini Pillai</t>
  </si>
  <si>
    <t xml:space="preserve">Amit Mishra</t>
  </si>
  <si>
    <t xml:space="preserve">Kavita Gupta</t>
  </si>
  <si>
    <t xml:space="preserve">Kavita Pillai</t>
  </si>
  <si>
    <t xml:space="preserve">🏆  MASTER PACKAGING BENCHMARKING MATRIX — Final Index Scores</t>
  </si>
  <si>
    <t xml:space="preserve">Index Score = (Sentiment Score × 0.50) + (Mention Frequency Score × 0.30) + (Ranking Score × 0.20)  |  Scale: 0–10  |  Higher = Better</t>
  </si>
  <si>
    <t xml:space="preserve">BRAND INFO</t>
  </si>
  <si>
    <t xml:space="preserve">SENTIMENT SCORES (Avg from Coding Sheet)</t>
  </si>
  <si>
    <t xml:space="preserve">MENTION FREQ SCORES (from BMF Sheet)</t>
  </si>
  <si>
    <t xml:space="preserve">INDEX</t>
  </si>
  <si>
    <t xml:space="preserve">Brand</t>
  </si>
  <si>
    <t xml:space="preserve">Shelf
Visibility</t>
  </si>
  <si>
    <t xml:space="preserve">Premium
Perception</t>
  </si>
  <si>
    <t xml:space="preserve">Product
Clarity</t>
  </si>
  <si>
    <t xml:space="preserve">SKU
Clarity</t>
  </si>
  <si>
    <t xml:space="preserve">Dealer
Ease</t>
  </si>
  <si>
    <t xml:space="preserve">Trust
Signal</t>
  </si>
  <si>
    <t xml:space="preserve">Sentiment
Avg</t>
  </si>
  <si>
    <t xml:space="preserve">Mention
Freq Score</t>
  </si>
  <si>
    <t xml:space="preserve">FINAL
INDEX (/10)</t>
  </si>
  <si>
    <t xml:space="preserve">🟡 Yellow cells = Manual input required   |   White/Colored cells = Auto-calculated formulas   |   Enter Sentiment scores (1–10) from Sentiment_Coding sheet averages, and Mention Freq scores from Brand_Mention_Freq sheet</t>
  </si>
  <si>
    <t xml:space="preserve">🥇 TOP BRAND</t>
  </si>
  <si>
    <t xml:space="preserve">DIMENSION</t>
  </si>
  <si>
    <t xml:space="preserve">Overall</t>
  </si>
  <si>
    <t xml:space="preserve">FINAL INDEX SCORE (/10)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</si>
</sst>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sz val="10"/>
      <color rgb="FF1F1F1F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i val="true"/>
      <sz val="9"/>
      <color rgb="FF1F3864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374151"/>
      <name val="Arial"/>
      <family val="0"/>
      <charset val="1"/>
    </font>
    <font>
      <b val="true"/>
      <sz val="10"/>
      <color rgb="FF1F1F1F"/>
      <name val="Arial"/>
      <family val="2"/>
      <charset val="1"/>
    </font>
    <font>
      <b val="true"/>
      <sz val="10"/>
      <color rgb="FFC55A1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i val="true"/>
      <sz val="9"/>
      <color rgb="FF1F3864"/>
      <name val="Arial"/>
      <family val="2"/>
      <charset val="1"/>
    </font>
    <font>
      <sz val="11"/>
      <color rgb="FF1F1F1F"/>
      <name val="Arial"/>
      <family val="2"/>
      <charset val="1"/>
    </font>
    <font>
      <b val="true"/>
      <sz val="11"/>
      <color rgb="FF1F1F1F"/>
      <name val="Arial"/>
      <family val="2"/>
      <charset val="1"/>
    </font>
    <font>
      <b val="true"/>
      <sz val="13"/>
      <color rgb="FF2E75B6"/>
      <name val="Arial"/>
      <family val="2"/>
      <charset val="1"/>
    </font>
    <font>
      <b val="true"/>
      <sz val="13"/>
      <color rgb="FF375623"/>
      <name val="Arial"/>
      <family val="2"/>
      <charset val="1"/>
    </font>
    <font>
      <b val="true"/>
      <sz val="13"/>
      <color rgb="FFC55A11"/>
      <name val="Arial"/>
      <family val="2"/>
      <charset val="1"/>
    </font>
    <font>
      <b val="true"/>
      <sz val="13"/>
      <color rgb="FF7030A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11"/>
      <color rgb="FF1B3A6B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B3A6B"/>
      </patternFill>
    </fill>
    <fill>
      <patternFill patternType="solid">
        <fgColor rgb="FF2E75B6"/>
        <bgColor rgb="FF0066CC"/>
      </patternFill>
    </fill>
    <fill>
      <patternFill patternType="solid">
        <fgColor rgb="FFD6DCE4"/>
        <bgColor rgb="FFD1D5DB"/>
      </patternFill>
    </fill>
    <fill>
      <patternFill patternType="solid">
        <fgColor rgb="FFFFFFFF"/>
        <bgColor rgb="FFF8FAFC"/>
      </patternFill>
    </fill>
    <fill>
      <patternFill patternType="solid">
        <fgColor rgb="FFDEEAF1"/>
        <bgColor rgb="FFDBEAFE"/>
      </patternFill>
    </fill>
    <fill>
      <patternFill patternType="solid">
        <fgColor rgb="FFC55A11"/>
        <bgColor rgb="FF993300"/>
      </patternFill>
    </fill>
    <fill>
      <patternFill patternType="solid">
        <fgColor rgb="FFF8FAFC"/>
        <bgColor rgb="FFFFFFFF"/>
      </patternFill>
    </fill>
    <fill>
      <patternFill patternType="solid">
        <fgColor rgb="FF375623"/>
        <bgColor rgb="FF374151"/>
      </patternFill>
    </fill>
    <fill>
      <patternFill patternType="solid">
        <fgColor rgb="FF7030A0"/>
        <bgColor rgb="FF993366"/>
      </patternFill>
    </fill>
    <fill>
      <patternFill patternType="solid">
        <fgColor rgb="FFFCE4D6"/>
        <bgColor rgb="FFE2EFDA"/>
      </patternFill>
    </fill>
    <fill>
      <patternFill patternType="solid">
        <fgColor rgb="FFEAD1DC"/>
        <bgColor rgb="FFD1D5DB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1D5DB"/>
      </patternFill>
    </fill>
    <fill>
      <patternFill patternType="solid">
        <fgColor rgb="FFE2EFDA"/>
        <bgColor rgb="FFDEEAF1"/>
      </patternFill>
    </fill>
    <fill>
      <patternFill patternType="solid">
        <fgColor rgb="FF1B3A6B"/>
        <bgColor rgb="FF1F3864"/>
      </patternFill>
    </fill>
    <fill>
      <patternFill patternType="solid">
        <fgColor rgb="FF374151"/>
        <bgColor rgb="FF1F3864"/>
      </patternFill>
    </fill>
    <fill>
      <patternFill patternType="solid">
        <fgColor rgb="FFDBEAFE"/>
        <bgColor rgb="FFDEEA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7030A0"/>
      <rgbColor rgb="FFF8FAFC"/>
      <rgbColor rgb="FFDBEAFE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CE4D6"/>
      <rgbColor rgb="FFD6DCE4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B3A6B"/>
      <rgbColor rgb="FF339966"/>
      <rgbColor rgb="FF375623"/>
      <rgbColor rgb="FF1F1F1F"/>
      <rgbColor rgb="FF993300"/>
      <rgbColor rgb="FF993366"/>
      <rgbColor rgb="FF1F3864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60"/>
  </cols>
  <sheetData>
    <row r="1" customFormat="false" ht="42.75" hidden="false" customHeight="true" outlineLevel="0" collapsed="false">
      <c r="B1" s="1" t="s">
        <v>0</v>
      </c>
      <c r="C1" s="1"/>
    </row>
    <row r="2" customFormat="false" ht="21.75" hidden="false" customHeight="true" outlineLevel="0" collapsed="false"/>
    <row r="3" customFormat="false" ht="19.5" hidden="false" customHeight="true" outlineLevel="0" collapsed="false">
      <c r="B3" s="2" t="s">
        <v>1</v>
      </c>
      <c r="C3" s="2"/>
    </row>
    <row r="4" customFormat="false" ht="30" hidden="false" customHeight="true" outlineLevel="0" collapsed="false">
      <c r="B4" s="3" t="s">
        <v>2</v>
      </c>
      <c r="C4" s="4" t="s">
        <v>3</v>
      </c>
    </row>
    <row r="5" customFormat="false" ht="30" hidden="false" customHeight="true" outlineLevel="0" collapsed="false">
      <c r="B5" s="3" t="s">
        <v>4</v>
      </c>
      <c r="C5" s="4" t="s">
        <v>5</v>
      </c>
    </row>
    <row r="6" customFormat="false" ht="30" hidden="false" customHeight="true" outlineLevel="0" collapsed="false">
      <c r="B6" s="3" t="s">
        <v>6</v>
      </c>
      <c r="C6" s="4" t="s">
        <v>7</v>
      </c>
    </row>
    <row r="7" customFormat="false" ht="30" hidden="false" customHeight="true" outlineLevel="0" collapsed="false">
      <c r="B7" s="3" t="s">
        <v>8</v>
      </c>
      <c r="C7" s="4" t="s">
        <v>9</v>
      </c>
    </row>
    <row r="8" customFormat="false" ht="7.5" hidden="false" customHeight="true" outlineLevel="0" collapsed="false"/>
    <row r="9" customFormat="false" ht="19.5" hidden="false" customHeight="true" outlineLevel="0" collapsed="false">
      <c r="B9" s="2" t="s">
        <v>10</v>
      </c>
      <c r="C9" s="2"/>
    </row>
    <row r="10" customFormat="false" ht="30" hidden="false" customHeight="true" outlineLevel="0" collapsed="false">
      <c r="B10" s="3" t="s">
        <v>11</v>
      </c>
      <c r="C10" s="4" t="s">
        <v>12</v>
      </c>
    </row>
    <row r="11" customFormat="false" ht="30" hidden="false" customHeight="true" outlineLevel="0" collapsed="false">
      <c r="B11" s="3" t="s">
        <v>13</v>
      </c>
      <c r="C11" s="4" t="s">
        <v>14</v>
      </c>
    </row>
    <row r="12" customFormat="false" ht="30" hidden="false" customHeight="true" outlineLevel="0" collapsed="false">
      <c r="B12" s="3" t="s">
        <v>15</v>
      </c>
      <c r="C12" s="4" t="s">
        <v>16</v>
      </c>
    </row>
    <row r="13" customFormat="false" ht="30" hidden="false" customHeight="true" outlineLevel="0" collapsed="false">
      <c r="B13" s="3" t="s">
        <v>17</v>
      </c>
      <c r="C13" s="4" t="s">
        <v>18</v>
      </c>
    </row>
    <row r="14" customFormat="false" ht="30" hidden="false" customHeight="true" outlineLevel="0" collapsed="false">
      <c r="B14" s="3" t="s">
        <v>19</v>
      </c>
      <c r="C14" s="4" t="s">
        <v>20</v>
      </c>
    </row>
    <row r="15" customFormat="false" ht="30" hidden="false" customHeight="true" outlineLevel="0" collapsed="false">
      <c r="B15" s="3" t="s">
        <v>21</v>
      </c>
      <c r="C15" s="4" t="s">
        <v>22</v>
      </c>
    </row>
    <row r="16" customFormat="false" ht="30" hidden="false" customHeight="true" outlineLevel="0" collapsed="false">
      <c r="B16" s="3" t="s">
        <v>23</v>
      </c>
      <c r="C16" s="4" t="s">
        <v>24</v>
      </c>
    </row>
    <row r="17" customFormat="false" ht="7.5" hidden="false" customHeight="true" outlineLevel="0" collapsed="false"/>
    <row r="18" customFormat="false" ht="19.5" hidden="false" customHeight="true" outlineLevel="0" collapsed="false">
      <c r="B18" s="2" t="s">
        <v>25</v>
      </c>
      <c r="C18" s="2"/>
    </row>
    <row r="19" customFormat="false" ht="30" hidden="false" customHeight="true" outlineLevel="0" collapsed="false">
      <c r="B19" s="3" t="s">
        <v>26</v>
      </c>
      <c r="C19" s="4" t="s">
        <v>27</v>
      </c>
    </row>
    <row r="20" customFormat="false" ht="30" hidden="false" customHeight="true" outlineLevel="0" collapsed="false">
      <c r="B20" s="3" t="s">
        <v>28</v>
      </c>
      <c r="C20" s="4" t="s">
        <v>29</v>
      </c>
    </row>
    <row r="21" customFormat="false" ht="30" hidden="false" customHeight="true" outlineLevel="0" collapsed="false">
      <c r="B21" s="3" t="s">
        <v>30</v>
      </c>
      <c r="C21" s="4" t="s">
        <v>31</v>
      </c>
    </row>
    <row r="22" customFormat="false" ht="30" hidden="false" customHeight="true" outlineLevel="0" collapsed="false">
      <c r="B22" s="3" t="s">
        <v>32</v>
      </c>
      <c r="C22" s="4" t="s">
        <v>33</v>
      </c>
    </row>
    <row r="23" customFormat="false" ht="30" hidden="false" customHeight="true" outlineLevel="0" collapsed="false">
      <c r="B23" s="3" t="s">
        <v>34</v>
      </c>
      <c r="C23" s="4" t="s">
        <v>35</v>
      </c>
    </row>
    <row r="24" customFormat="false" ht="30" hidden="false" customHeight="true" outlineLevel="0" collapsed="false">
      <c r="B24" s="3" t="s">
        <v>36</v>
      </c>
      <c r="C24" s="4" t="s">
        <v>37</v>
      </c>
    </row>
    <row r="25" customFormat="false" ht="30" hidden="false" customHeight="true" outlineLevel="0" collapsed="false">
      <c r="B25" s="3" t="s">
        <v>38</v>
      </c>
      <c r="C25" s="4" t="s">
        <v>39</v>
      </c>
    </row>
    <row r="26" customFormat="false" ht="7.5" hidden="false" customHeight="true" outlineLevel="0" collapsed="false"/>
    <row r="27" customFormat="false" ht="19.5" hidden="false" customHeight="true" outlineLevel="0" collapsed="false">
      <c r="B27" s="2" t="s">
        <v>40</v>
      </c>
      <c r="C27" s="2"/>
    </row>
    <row r="28" customFormat="false" ht="30" hidden="false" customHeight="true" outlineLevel="0" collapsed="false">
      <c r="B28" s="3" t="s">
        <v>41</v>
      </c>
      <c r="C28" s="4" t="s">
        <v>42</v>
      </c>
    </row>
    <row r="29" customFormat="false" ht="30" hidden="false" customHeight="true" outlineLevel="0" collapsed="false">
      <c r="B29" s="3" t="s">
        <v>43</v>
      </c>
      <c r="C29" s="4" t="s">
        <v>44</v>
      </c>
    </row>
    <row r="30" customFormat="false" ht="30" hidden="false" customHeight="true" outlineLevel="0" collapsed="false">
      <c r="B30" s="3" t="s">
        <v>45</v>
      </c>
      <c r="C30" s="4" t="s">
        <v>46</v>
      </c>
    </row>
    <row r="31" customFormat="false" ht="30" hidden="false" customHeight="true" outlineLevel="0" collapsed="false">
      <c r="B31" s="3" t="s">
        <v>47</v>
      </c>
      <c r="C31" s="4" t="s">
        <v>48</v>
      </c>
    </row>
  </sheetData>
  <mergeCells count="5">
    <mergeCell ref="B1:C1"/>
    <mergeCell ref="B3:C3"/>
    <mergeCell ref="B9:C9"/>
    <mergeCell ref="B18:C18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false" showRowColHeaders="true" showZeros="true" rightToLeft="false" tabSelected="false" showOutlineSymbols="true" defaultGridColor="true" view="normal" topLeftCell="A1" colorId="64" zoomScale="82" zoomScaleNormal="82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5" activeCellId="0" sqref="R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20" min="6" style="0" width="30"/>
    <col collapsed="false" customWidth="true" hidden="false" outlineLevel="0" max="22" min="21" style="0" width="20"/>
    <col collapsed="false" customWidth="true" hidden="false" outlineLevel="0" max="23" min="23" style="0" width="35"/>
  </cols>
  <sheetData>
    <row r="1" customFormat="false" ht="27.75" hidden="false" customHeight="true" outlineLevel="0" collapsed="false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customFormat="false" ht="19.5" hidden="false" customHeight="true" outlineLevel="0" collapsed="false">
      <c r="A2" s="6" t="s">
        <v>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customFormat="false" ht="19.5" hidden="false" customHeight="true" outlineLevel="0" collapsed="false">
      <c r="A3" s="7" t="s">
        <v>51</v>
      </c>
      <c r="B3" s="7"/>
      <c r="C3" s="7"/>
      <c r="D3" s="7"/>
      <c r="E3" s="7"/>
      <c r="F3" s="7" t="s">
        <v>52</v>
      </c>
      <c r="G3" s="7"/>
      <c r="H3" s="7"/>
      <c r="I3" s="7" t="s">
        <v>53</v>
      </c>
      <c r="J3" s="7"/>
      <c r="K3" s="7"/>
      <c r="L3" s="7" t="s">
        <v>54</v>
      </c>
      <c r="M3" s="7"/>
      <c r="N3" s="7"/>
      <c r="O3" s="7" t="s">
        <v>55</v>
      </c>
      <c r="P3" s="7"/>
      <c r="Q3" s="7"/>
      <c r="R3" s="7" t="s">
        <v>56</v>
      </c>
      <c r="S3" s="7"/>
      <c r="T3" s="7"/>
      <c r="U3" s="8" t="s">
        <v>57</v>
      </c>
      <c r="V3" s="8"/>
      <c r="W3" s="8"/>
    </row>
    <row r="4" customFormat="false" ht="39.75" hidden="false" customHeight="true" outlineLevel="0" collapsed="false">
      <c r="A4" s="9" t="s">
        <v>58</v>
      </c>
      <c r="B4" s="10" t="s">
        <v>59</v>
      </c>
      <c r="C4" s="10" t="s">
        <v>60</v>
      </c>
      <c r="D4" s="10" t="s">
        <v>61</v>
      </c>
      <c r="E4" s="10" t="s">
        <v>62</v>
      </c>
      <c r="F4" s="10" t="s">
        <v>63</v>
      </c>
      <c r="G4" s="10" t="s">
        <v>64</v>
      </c>
      <c r="H4" s="10" t="s">
        <v>65</v>
      </c>
      <c r="I4" s="10" t="s">
        <v>66</v>
      </c>
      <c r="J4" s="10" t="s">
        <v>67</v>
      </c>
      <c r="K4" s="10" t="s">
        <v>68</v>
      </c>
      <c r="L4" s="10" t="s">
        <v>69</v>
      </c>
      <c r="M4" s="10" t="s">
        <v>70</v>
      </c>
      <c r="N4" s="10" t="s">
        <v>71</v>
      </c>
      <c r="O4" s="10" t="s">
        <v>72</v>
      </c>
      <c r="P4" s="10" t="s">
        <v>73</v>
      </c>
      <c r="Q4" s="10" t="s">
        <v>74</v>
      </c>
      <c r="R4" s="10" t="s">
        <v>75</v>
      </c>
      <c r="S4" s="10" t="s">
        <v>76</v>
      </c>
      <c r="T4" s="10" t="s">
        <v>77</v>
      </c>
      <c r="U4" s="10" t="s">
        <v>78</v>
      </c>
      <c r="V4" s="10" t="s">
        <v>78</v>
      </c>
      <c r="W4" s="10" t="s">
        <v>79</v>
      </c>
    </row>
    <row r="5" customFormat="false" ht="45" hidden="false" customHeight="true" outlineLevel="0" collapsed="false">
      <c r="A5" s="11" t="s">
        <v>80</v>
      </c>
      <c r="B5" s="12" t="s">
        <v>81</v>
      </c>
      <c r="C5" s="12" t="s">
        <v>82</v>
      </c>
      <c r="D5" s="12" t="s">
        <v>83</v>
      </c>
      <c r="E5" s="12" t="s">
        <v>84</v>
      </c>
      <c r="F5" s="12" t="s">
        <v>85</v>
      </c>
      <c r="G5" s="12" t="s">
        <v>86</v>
      </c>
      <c r="H5" s="12" t="s">
        <v>87</v>
      </c>
      <c r="I5" s="12" t="s">
        <v>88</v>
      </c>
      <c r="J5" s="12" t="s">
        <v>89</v>
      </c>
      <c r="K5" s="12" t="s">
        <v>90</v>
      </c>
      <c r="L5" s="12" t="s">
        <v>91</v>
      </c>
      <c r="M5" s="12" t="s">
        <v>70</v>
      </c>
      <c r="N5" s="12" t="s">
        <v>92</v>
      </c>
      <c r="O5" s="12" t="s">
        <v>93</v>
      </c>
      <c r="P5" s="12" t="s">
        <v>94</v>
      </c>
      <c r="Q5" s="12" t="s">
        <v>74</v>
      </c>
      <c r="R5" s="12" t="s">
        <v>95</v>
      </c>
      <c r="S5" s="12" t="s">
        <v>96</v>
      </c>
      <c r="T5" s="12" t="s">
        <v>77</v>
      </c>
      <c r="U5" s="12" t="s">
        <v>97</v>
      </c>
      <c r="V5" s="12" t="s">
        <v>97</v>
      </c>
      <c r="W5" s="12" t="s">
        <v>98</v>
      </c>
    </row>
    <row r="6" customFormat="false" ht="45" hidden="false" customHeight="true" outlineLevel="0" collapsed="false">
      <c r="A6" s="9" t="s">
        <v>99</v>
      </c>
      <c r="B6" s="10" t="s">
        <v>100</v>
      </c>
      <c r="C6" s="10" t="s">
        <v>60</v>
      </c>
      <c r="D6" s="10" t="s">
        <v>61</v>
      </c>
      <c r="E6" s="10" t="s">
        <v>84</v>
      </c>
      <c r="F6" s="10" t="s">
        <v>101</v>
      </c>
      <c r="G6" s="10" t="s">
        <v>102</v>
      </c>
      <c r="H6" s="10" t="s">
        <v>87</v>
      </c>
      <c r="I6" s="10" t="s">
        <v>103</v>
      </c>
      <c r="J6" s="10" t="s">
        <v>104</v>
      </c>
      <c r="K6" s="10" t="s">
        <v>68</v>
      </c>
      <c r="L6" s="10" t="s">
        <v>69</v>
      </c>
      <c r="M6" s="10" t="s">
        <v>105</v>
      </c>
      <c r="N6" s="10" t="s">
        <v>71</v>
      </c>
      <c r="O6" s="10" t="s">
        <v>106</v>
      </c>
      <c r="P6" s="10" t="s">
        <v>73</v>
      </c>
      <c r="Q6" s="10" t="s">
        <v>74</v>
      </c>
      <c r="R6" s="10" t="s">
        <v>75</v>
      </c>
      <c r="S6" s="10" t="s">
        <v>76</v>
      </c>
      <c r="T6" s="10" t="s">
        <v>107</v>
      </c>
      <c r="U6" s="10" t="s">
        <v>78</v>
      </c>
      <c r="V6" s="10" t="s">
        <v>78</v>
      </c>
      <c r="W6" s="10" t="s">
        <v>108</v>
      </c>
    </row>
    <row r="7" customFormat="false" ht="45" hidden="false" customHeight="true" outlineLevel="0" collapsed="false">
      <c r="A7" s="11" t="s">
        <v>109</v>
      </c>
      <c r="B7" s="12" t="s">
        <v>110</v>
      </c>
      <c r="C7" s="12" t="s">
        <v>82</v>
      </c>
      <c r="D7" s="12" t="s">
        <v>111</v>
      </c>
      <c r="E7" s="12" t="s">
        <v>112</v>
      </c>
      <c r="F7" s="12" t="s">
        <v>63</v>
      </c>
      <c r="G7" s="12" t="s">
        <v>113</v>
      </c>
      <c r="H7" s="12" t="s">
        <v>114</v>
      </c>
      <c r="I7" s="12" t="s">
        <v>115</v>
      </c>
      <c r="J7" s="12" t="s">
        <v>67</v>
      </c>
      <c r="K7" s="12" t="s">
        <v>116</v>
      </c>
      <c r="L7" s="12" t="s">
        <v>117</v>
      </c>
      <c r="M7" s="12" t="s">
        <v>70</v>
      </c>
      <c r="N7" s="12" t="s">
        <v>71</v>
      </c>
      <c r="O7" s="12" t="s">
        <v>106</v>
      </c>
      <c r="P7" s="12" t="s">
        <v>73</v>
      </c>
      <c r="Q7" s="12" t="s">
        <v>74</v>
      </c>
      <c r="R7" s="12" t="s">
        <v>75</v>
      </c>
      <c r="S7" s="12" t="s">
        <v>76</v>
      </c>
      <c r="T7" s="12" t="s">
        <v>118</v>
      </c>
      <c r="U7" s="12" t="s">
        <v>78</v>
      </c>
      <c r="V7" s="12" t="s">
        <v>78</v>
      </c>
      <c r="W7" s="12" t="s">
        <v>119</v>
      </c>
    </row>
    <row r="8" customFormat="false" ht="45" hidden="false" customHeight="true" outlineLevel="0" collapsed="false">
      <c r="A8" s="9" t="s">
        <v>120</v>
      </c>
      <c r="B8" s="10" t="s">
        <v>121</v>
      </c>
      <c r="C8" s="10" t="s">
        <v>122</v>
      </c>
      <c r="D8" s="10" t="s">
        <v>123</v>
      </c>
      <c r="E8" s="10" t="s">
        <v>62</v>
      </c>
      <c r="F8" s="10" t="s">
        <v>85</v>
      </c>
      <c r="G8" s="10" t="s">
        <v>124</v>
      </c>
      <c r="H8" s="10" t="s">
        <v>65</v>
      </c>
      <c r="I8" s="10" t="s">
        <v>125</v>
      </c>
      <c r="J8" s="10" t="s">
        <v>126</v>
      </c>
      <c r="K8" s="10" t="s">
        <v>90</v>
      </c>
      <c r="L8" s="10" t="s">
        <v>127</v>
      </c>
      <c r="M8" s="10" t="s">
        <v>128</v>
      </c>
      <c r="N8" s="10" t="s">
        <v>92</v>
      </c>
      <c r="O8" s="10" t="s">
        <v>129</v>
      </c>
      <c r="P8" s="10" t="s">
        <v>94</v>
      </c>
      <c r="Q8" s="10" t="s">
        <v>74</v>
      </c>
      <c r="R8" s="10" t="s">
        <v>95</v>
      </c>
      <c r="S8" s="10" t="s">
        <v>96</v>
      </c>
      <c r="T8" s="10" t="s">
        <v>130</v>
      </c>
      <c r="U8" s="10" t="s">
        <v>97</v>
      </c>
      <c r="V8" s="10" t="s">
        <v>97</v>
      </c>
      <c r="W8" s="10" t="s">
        <v>131</v>
      </c>
    </row>
    <row r="9" customFormat="false" ht="45" hidden="false" customHeight="true" outlineLevel="0" collapsed="false">
      <c r="A9" s="11" t="s">
        <v>132</v>
      </c>
      <c r="B9" s="12" t="s">
        <v>133</v>
      </c>
      <c r="C9" s="12" t="s">
        <v>134</v>
      </c>
      <c r="D9" s="12" t="s">
        <v>111</v>
      </c>
      <c r="E9" s="12" t="s">
        <v>62</v>
      </c>
      <c r="F9" s="12" t="s">
        <v>135</v>
      </c>
      <c r="G9" s="12" t="s">
        <v>136</v>
      </c>
      <c r="H9" s="12" t="s">
        <v>137</v>
      </c>
      <c r="I9" s="12" t="s">
        <v>138</v>
      </c>
      <c r="J9" s="12" t="s">
        <v>139</v>
      </c>
      <c r="K9" s="12" t="s">
        <v>140</v>
      </c>
      <c r="L9" s="12" t="s">
        <v>141</v>
      </c>
      <c r="M9" s="12" t="s">
        <v>128</v>
      </c>
      <c r="N9" s="12" t="s">
        <v>92</v>
      </c>
      <c r="O9" s="12" t="s">
        <v>142</v>
      </c>
      <c r="P9" s="12" t="s">
        <v>143</v>
      </c>
      <c r="Q9" s="12" t="s">
        <v>144</v>
      </c>
      <c r="R9" s="12" t="s">
        <v>145</v>
      </c>
      <c r="S9" s="12" t="s">
        <v>146</v>
      </c>
      <c r="T9" s="12" t="s">
        <v>107</v>
      </c>
      <c r="U9" s="12" t="s">
        <v>147</v>
      </c>
      <c r="V9" s="12" t="s">
        <v>147</v>
      </c>
      <c r="W9" s="12" t="s">
        <v>148</v>
      </c>
    </row>
    <row r="10" customFormat="false" ht="45" hidden="false" customHeight="true" outlineLevel="0" collapsed="false">
      <c r="A10" s="9" t="s">
        <v>149</v>
      </c>
      <c r="B10" s="10" t="s">
        <v>150</v>
      </c>
      <c r="C10" s="10" t="s">
        <v>151</v>
      </c>
      <c r="D10" s="10" t="s">
        <v>152</v>
      </c>
      <c r="E10" s="10" t="s">
        <v>112</v>
      </c>
      <c r="F10" s="10" t="s">
        <v>101</v>
      </c>
      <c r="G10" s="10" t="s">
        <v>64</v>
      </c>
      <c r="H10" s="10" t="s">
        <v>114</v>
      </c>
      <c r="I10" s="10" t="s">
        <v>103</v>
      </c>
      <c r="J10" s="10" t="s">
        <v>104</v>
      </c>
      <c r="K10" s="10" t="s">
        <v>116</v>
      </c>
      <c r="L10" s="10" t="s">
        <v>117</v>
      </c>
      <c r="M10" s="10" t="s">
        <v>153</v>
      </c>
      <c r="N10" s="10" t="s">
        <v>71</v>
      </c>
      <c r="O10" s="10" t="s">
        <v>106</v>
      </c>
      <c r="P10" s="10" t="s">
        <v>154</v>
      </c>
      <c r="Q10" s="10" t="s">
        <v>74</v>
      </c>
      <c r="R10" s="10" t="s">
        <v>75</v>
      </c>
      <c r="S10" s="10" t="s">
        <v>76</v>
      </c>
      <c r="T10" s="10" t="s">
        <v>118</v>
      </c>
      <c r="U10" s="10" t="s">
        <v>78</v>
      </c>
      <c r="V10" s="10" t="s">
        <v>78</v>
      </c>
      <c r="W10" s="10" t="s">
        <v>155</v>
      </c>
    </row>
    <row r="11" customFormat="false" ht="45" hidden="false" customHeight="true" outlineLevel="0" collapsed="false">
      <c r="A11" s="11" t="s">
        <v>156</v>
      </c>
      <c r="B11" s="12" t="s">
        <v>157</v>
      </c>
      <c r="C11" s="12" t="s">
        <v>158</v>
      </c>
      <c r="D11" s="12" t="s">
        <v>159</v>
      </c>
      <c r="E11" s="12" t="s">
        <v>62</v>
      </c>
      <c r="F11" s="12" t="s">
        <v>160</v>
      </c>
      <c r="G11" s="12" t="s">
        <v>113</v>
      </c>
      <c r="H11" s="12" t="s">
        <v>87</v>
      </c>
      <c r="I11" s="12" t="s">
        <v>66</v>
      </c>
      <c r="J11" s="12" t="s">
        <v>104</v>
      </c>
      <c r="K11" s="12" t="s">
        <v>90</v>
      </c>
      <c r="L11" s="12" t="s">
        <v>117</v>
      </c>
      <c r="M11" s="12" t="s">
        <v>153</v>
      </c>
      <c r="N11" s="12" t="s">
        <v>71</v>
      </c>
      <c r="O11" s="12" t="s">
        <v>106</v>
      </c>
      <c r="P11" s="12" t="s">
        <v>154</v>
      </c>
      <c r="Q11" s="12" t="s">
        <v>74</v>
      </c>
      <c r="R11" s="12" t="s">
        <v>75</v>
      </c>
      <c r="S11" s="12" t="s">
        <v>76</v>
      </c>
      <c r="T11" s="12" t="s">
        <v>161</v>
      </c>
      <c r="U11" s="12" t="s">
        <v>78</v>
      </c>
      <c r="V11" s="12" t="s">
        <v>78</v>
      </c>
      <c r="W11" s="12" t="s">
        <v>162</v>
      </c>
    </row>
    <row r="12" customFormat="false" ht="45" hidden="false" customHeight="true" outlineLevel="0" collapsed="false">
      <c r="A12" s="9" t="s">
        <v>163</v>
      </c>
      <c r="B12" s="10" t="s">
        <v>164</v>
      </c>
      <c r="C12" s="10" t="s">
        <v>82</v>
      </c>
      <c r="D12" s="10" t="s">
        <v>165</v>
      </c>
      <c r="E12" s="10" t="s">
        <v>84</v>
      </c>
      <c r="F12" s="10" t="s">
        <v>166</v>
      </c>
      <c r="G12" s="10" t="s">
        <v>113</v>
      </c>
      <c r="H12" s="10" t="s">
        <v>87</v>
      </c>
      <c r="I12" s="10" t="s">
        <v>66</v>
      </c>
      <c r="J12" s="10" t="s">
        <v>67</v>
      </c>
      <c r="K12" s="10" t="s">
        <v>68</v>
      </c>
      <c r="L12" s="10" t="s">
        <v>69</v>
      </c>
      <c r="M12" s="10" t="s">
        <v>153</v>
      </c>
      <c r="N12" s="10" t="s">
        <v>71</v>
      </c>
      <c r="O12" s="10" t="s">
        <v>106</v>
      </c>
      <c r="P12" s="10" t="s">
        <v>154</v>
      </c>
      <c r="Q12" s="10" t="s">
        <v>74</v>
      </c>
      <c r="R12" s="10" t="s">
        <v>75</v>
      </c>
      <c r="S12" s="10" t="s">
        <v>76</v>
      </c>
      <c r="T12" s="10" t="s">
        <v>167</v>
      </c>
      <c r="U12" s="10" t="s">
        <v>78</v>
      </c>
      <c r="V12" s="10" t="s">
        <v>78</v>
      </c>
      <c r="W12" s="10" t="s">
        <v>168</v>
      </c>
    </row>
    <row r="13" customFormat="false" ht="45" hidden="false" customHeight="true" outlineLevel="0" collapsed="false">
      <c r="A13" s="11" t="s">
        <v>169</v>
      </c>
      <c r="B13" s="12" t="s">
        <v>170</v>
      </c>
      <c r="C13" s="12" t="s">
        <v>158</v>
      </c>
      <c r="D13" s="12" t="s">
        <v>171</v>
      </c>
      <c r="E13" s="12" t="s">
        <v>112</v>
      </c>
      <c r="F13" s="12" t="s">
        <v>172</v>
      </c>
      <c r="G13" s="12" t="s">
        <v>86</v>
      </c>
      <c r="H13" s="12" t="s">
        <v>114</v>
      </c>
      <c r="I13" s="12" t="s">
        <v>125</v>
      </c>
      <c r="J13" s="12" t="s">
        <v>89</v>
      </c>
      <c r="K13" s="12" t="s">
        <v>68</v>
      </c>
      <c r="L13" s="12" t="s">
        <v>173</v>
      </c>
      <c r="M13" s="12" t="s">
        <v>153</v>
      </c>
      <c r="N13" s="12" t="s">
        <v>92</v>
      </c>
      <c r="O13" s="12" t="s">
        <v>93</v>
      </c>
      <c r="P13" s="12" t="s">
        <v>94</v>
      </c>
      <c r="Q13" s="12" t="s">
        <v>74</v>
      </c>
      <c r="R13" s="12" t="s">
        <v>95</v>
      </c>
      <c r="S13" s="12" t="s">
        <v>96</v>
      </c>
      <c r="T13" s="12" t="s">
        <v>107</v>
      </c>
      <c r="U13" s="12" t="s">
        <v>97</v>
      </c>
      <c r="V13" s="12" t="s">
        <v>97</v>
      </c>
      <c r="W13" s="12" t="s">
        <v>174</v>
      </c>
    </row>
    <row r="14" customFormat="false" ht="45" hidden="false" customHeight="true" outlineLevel="0" collapsed="false">
      <c r="A14" s="9" t="s">
        <v>175</v>
      </c>
      <c r="B14" s="10" t="s">
        <v>176</v>
      </c>
      <c r="C14" s="10" t="s">
        <v>177</v>
      </c>
      <c r="D14" s="10" t="s">
        <v>178</v>
      </c>
      <c r="E14" s="10" t="s">
        <v>84</v>
      </c>
      <c r="F14" s="10" t="s">
        <v>160</v>
      </c>
      <c r="G14" s="10" t="s">
        <v>102</v>
      </c>
      <c r="H14" s="10" t="s">
        <v>137</v>
      </c>
      <c r="I14" s="10" t="s">
        <v>66</v>
      </c>
      <c r="J14" s="10" t="s">
        <v>67</v>
      </c>
      <c r="K14" s="10" t="s">
        <v>116</v>
      </c>
      <c r="L14" s="10" t="s">
        <v>69</v>
      </c>
      <c r="M14" s="10" t="s">
        <v>105</v>
      </c>
      <c r="N14" s="10" t="s">
        <v>71</v>
      </c>
      <c r="O14" s="10" t="s">
        <v>72</v>
      </c>
      <c r="P14" s="10" t="s">
        <v>154</v>
      </c>
      <c r="Q14" s="10" t="s">
        <v>74</v>
      </c>
      <c r="R14" s="10" t="s">
        <v>75</v>
      </c>
      <c r="S14" s="10" t="s">
        <v>76</v>
      </c>
      <c r="T14" s="10" t="s">
        <v>179</v>
      </c>
      <c r="U14" s="10" t="s">
        <v>78</v>
      </c>
      <c r="V14" s="10" t="s">
        <v>78</v>
      </c>
      <c r="W14" s="10" t="s">
        <v>180</v>
      </c>
    </row>
    <row r="15" customFormat="false" ht="45" hidden="false" customHeight="true" outlineLevel="0" collapsed="false">
      <c r="A15" s="11" t="s">
        <v>181</v>
      </c>
      <c r="B15" s="12" t="s">
        <v>182</v>
      </c>
      <c r="C15" s="12" t="s">
        <v>183</v>
      </c>
      <c r="D15" s="12" t="s">
        <v>184</v>
      </c>
      <c r="E15" s="12" t="s">
        <v>84</v>
      </c>
      <c r="F15" s="12" t="s">
        <v>185</v>
      </c>
      <c r="G15" s="12" t="s">
        <v>186</v>
      </c>
      <c r="H15" s="12" t="s">
        <v>137</v>
      </c>
      <c r="I15" s="12" t="s">
        <v>187</v>
      </c>
      <c r="J15" s="12" t="s">
        <v>188</v>
      </c>
      <c r="K15" s="12" t="s">
        <v>68</v>
      </c>
      <c r="L15" s="12" t="s">
        <v>189</v>
      </c>
      <c r="M15" s="12" t="s">
        <v>70</v>
      </c>
      <c r="N15" s="12" t="s">
        <v>92</v>
      </c>
      <c r="O15" s="12" t="s">
        <v>190</v>
      </c>
      <c r="P15" s="12" t="s">
        <v>191</v>
      </c>
      <c r="Q15" s="12" t="s">
        <v>74</v>
      </c>
      <c r="R15" s="12" t="s">
        <v>192</v>
      </c>
      <c r="S15" s="12" t="s">
        <v>193</v>
      </c>
      <c r="T15" s="12" t="s">
        <v>194</v>
      </c>
      <c r="U15" s="12" t="s">
        <v>195</v>
      </c>
      <c r="V15" s="12" t="s">
        <v>195</v>
      </c>
      <c r="W15" s="12" t="s">
        <v>196</v>
      </c>
    </row>
    <row r="16" customFormat="false" ht="45" hidden="false" customHeight="true" outlineLevel="0" collapsed="false">
      <c r="A16" s="9" t="s">
        <v>197</v>
      </c>
      <c r="B16" s="10" t="s">
        <v>198</v>
      </c>
      <c r="C16" s="10" t="s">
        <v>82</v>
      </c>
      <c r="D16" s="10" t="s">
        <v>159</v>
      </c>
      <c r="E16" s="10" t="s">
        <v>84</v>
      </c>
      <c r="F16" s="10" t="s">
        <v>160</v>
      </c>
      <c r="G16" s="10" t="s">
        <v>64</v>
      </c>
      <c r="H16" s="10" t="s">
        <v>114</v>
      </c>
      <c r="I16" s="10" t="s">
        <v>66</v>
      </c>
      <c r="J16" s="10" t="s">
        <v>104</v>
      </c>
      <c r="K16" s="10" t="s">
        <v>90</v>
      </c>
      <c r="L16" s="10" t="s">
        <v>117</v>
      </c>
      <c r="M16" s="10" t="s">
        <v>70</v>
      </c>
      <c r="N16" s="10" t="s">
        <v>71</v>
      </c>
      <c r="O16" s="10" t="s">
        <v>72</v>
      </c>
      <c r="P16" s="10" t="s">
        <v>154</v>
      </c>
      <c r="Q16" s="10" t="s">
        <v>74</v>
      </c>
      <c r="R16" s="10" t="s">
        <v>75</v>
      </c>
      <c r="S16" s="10" t="s">
        <v>76</v>
      </c>
      <c r="T16" s="10" t="s">
        <v>77</v>
      </c>
      <c r="U16" s="10" t="s">
        <v>78</v>
      </c>
      <c r="V16" s="10" t="s">
        <v>78</v>
      </c>
      <c r="W16" s="10" t="s">
        <v>180</v>
      </c>
    </row>
    <row r="17" customFormat="false" ht="45" hidden="false" customHeight="true" outlineLevel="0" collapsed="false">
      <c r="A17" s="11" t="s">
        <v>199</v>
      </c>
      <c r="B17" s="12" t="s">
        <v>200</v>
      </c>
      <c r="C17" s="12" t="s">
        <v>201</v>
      </c>
      <c r="D17" s="12" t="s">
        <v>202</v>
      </c>
      <c r="E17" s="12" t="s">
        <v>62</v>
      </c>
      <c r="F17" s="12" t="s">
        <v>203</v>
      </c>
      <c r="G17" s="12" t="s">
        <v>124</v>
      </c>
      <c r="H17" s="12" t="s">
        <v>114</v>
      </c>
      <c r="I17" s="12" t="s">
        <v>88</v>
      </c>
      <c r="J17" s="12" t="s">
        <v>126</v>
      </c>
      <c r="K17" s="12" t="s">
        <v>68</v>
      </c>
      <c r="L17" s="12" t="s">
        <v>173</v>
      </c>
      <c r="M17" s="12" t="s">
        <v>128</v>
      </c>
      <c r="N17" s="12" t="s">
        <v>92</v>
      </c>
      <c r="O17" s="12" t="s">
        <v>93</v>
      </c>
      <c r="P17" s="12" t="s">
        <v>94</v>
      </c>
      <c r="Q17" s="12" t="s">
        <v>74</v>
      </c>
      <c r="R17" s="12" t="s">
        <v>95</v>
      </c>
      <c r="S17" s="12" t="s">
        <v>96</v>
      </c>
      <c r="T17" s="12" t="s">
        <v>130</v>
      </c>
      <c r="U17" s="12" t="s">
        <v>97</v>
      </c>
      <c r="V17" s="12" t="s">
        <v>97</v>
      </c>
      <c r="W17" s="12" t="s">
        <v>204</v>
      </c>
    </row>
    <row r="18" customFormat="false" ht="45" hidden="false" customHeight="true" outlineLevel="0" collapsed="false">
      <c r="A18" s="9" t="s">
        <v>205</v>
      </c>
      <c r="B18" s="10" t="s">
        <v>206</v>
      </c>
      <c r="C18" s="10" t="s">
        <v>177</v>
      </c>
      <c r="D18" s="10" t="s">
        <v>159</v>
      </c>
      <c r="E18" s="10" t="s">
        <v>112</v>
      </c>
      <c r="F18" s="10" t="s">
        <v>207</v>
      </c>
      <c r="G18" s="10" t="s">
        <v>208</v>
      </c>
      <c r="H18" s="10" t="s">
        <v>65</v>
      </c>
      <c r="I18" s="10" t="s">
        <v>187</v>
      </c>
      <c r="J18" s="10" t="s">
        <v>209</v>
      </c>
      <c r="K18" s="10" t="s">
        <v>140</v>
      </c>
      <c r="L18" s="10" t="s">
        <v>189</v>
      </c>
      <c r="M18" s="10" t="s">
        <v>70</v>
      </c>
      <c r="N18" s="10" t="s">
        <v>92</v>
      </c>
      <c r="O18" s="10" t="s">
        <v>190</v>
      </c>
      <c r="P18" s="10" t="s">
        <v>191</v>
      </c>
      <c r="Q18" s="10" t="s">
        <v>74</v>
      </c>
      <c r="R18" s="10" t="s">
        <v>192</v>
      </c>
      <c r="S18" s="10" t="s">
        <v>193</v>
      </c>
      <c r="T18" s="10" t="s">
        <v>130</v>
      </c>
      <c r="U18" s="10" t="s">
        <v>195</v>
      </c>
      <c r="V18" s="10" t="s">
        <v>195</v>
      </c>
      <c r="W18" s="10" t="s">
        <v>210</v>
      </c>
    </row>
    <row r="19" customFormat="false" ht="45" hidden="false" customHeight="true" outlineLevel="0" collapsed="false">
      <c r="A19" s="11" t="s">
        <v>211</v>
      </c>
      <c r="B19" s="12" t="s">
        <v>212</v>
      </c>
      <c r="C19" s="12" t="s">
        <v>183</v>
      </c>
      <c r="D19" s="12" t="s">
        <v>213</v>
      </c>
      <c r="E19" s="12" t="s">
        <v>62</v>
      </c>
      <c r="F19" s="12" t="s">
        <v>172</v>
      </c>
      <c r="G19" s="12" t="s">
        <v>214</v>
      </c>
      <c r="H19" s="12" t="s">
        <v>65</v>
      </c>
      <c r="I19" s="12" t="s">
        <v>88</v>
      </c>
      <c r="J19" s="12" t="s">
        <v>89</v>
      </c>
      <c r="K19" s="12" t="s">
        <v>140</v>
      </c>
      <c r="L19" s="12" t="s">
        <v>173</v>
      </c>
      <c r="M19" s="12" t="s">
        <v>153</v>
      </c>
      <c r="N19" s="12" t="s">
        <v>92</v>
      </c>
      <c r="O19" s="12" t="s">
        <v>129</v>
      </c>
      <c r="P19" s="12" t="s">
        <v>215</v>
      </c>
      <c r="Q19" s="12" t="s">
        <v>74</v>
      </c>
      <c r="R19" s="12" t="s">
        <v>95</v>
      </c>
      <c r="S19" s="12" t="s">
        <v>96</v>
      </c>
      <c r="T19" s="12" t="s">
        <v>161</v>
      </c>
      <c r="U19" s="12" t="s">
        <v>97</v>
      </c>
      <c r="V19" s="12" t="s">
        <v>97</v>
      </c>
      <c r="W19" s="12" t="s">
        <v>216</v>
      </c>
    </row>
    <row r="20" customFormat="false" ht="45" hidden="false" customHeight="true" outlineLevel="0" collapsed="false">
      <c r="A20" s="9" t="s">
        <v>217</v>
      </c>
      <c r="B20" s="10" t="s">
        <v>218</v>
      </c>
      <c r="C20" s="10" t="s">
        <v>60</v>
      </c>
      <c r="D20" s="10" t="s">
        <v>219</v>
      </c>
      <c r="E20" s="10" t="s">
        <v>112</v>
      </c>
      <c r="F20" s="10" t="s">
        <v>101</v>
      </c>
      <c r="G20" s="10" t="s">
        <v>64</v>
      </c>
      <c r="H20" s="10" t="s">
        <v>87</v>
      </c>
      <c r="I20" s="10" t="s">
        <v>103</v>
      </c>
      <c r="J20" s="10" t="s">
        <v>67</v>
      </c>
      <c r="K20" s="10" t="s">
        <v>90</v>
      </c>
      <c r="L20" s="10" t="s">
        <v>117</v>
      </c>
      <c r="M20" s="10" t="s">
        <v>153</v>
      </c>
      <c r="N20" s="10" t="s">
        <v>71</v>
      </c>
      <c r="O20" s="10" t="s">
        <v>72</v>
      </c>
      <c r="P20" s="10" t="s">
        <v>73</v>
      </c>
      <c r="Q20" s="10" t="s">
        <v>74</v>
      </c>
      <c r="R20" s="10" t="s">
        <v>75</v>
      </c>
      <c r="S20" s="10" t="s">
        <v>76</v>
      </c>
      <c r="T20" s="10" t="s">
        <v>194</v>
      </c>
      <c r="U20" s="10" t="s">
        <v>78</v>
      </c>
      <c r="V20" s="10" t="s">
        <v>78</v>
      </c>
      <c r="W20" s="10" t="s">
        <v>155</v>
      </c>
    </row>
    <row r="21" customFormat="false" ht="45" hidden="false" customHeight="true" outlineLevel="0" collapsed="false">
      <c r="A21" s="11" t="s">
        <v>220</v>
      </c>
      <c r="B21" s="12" t="s">
        <v>221</v>
      </c>
      <c r="C21" s="12" t="s">
        <v>82</v>
      </c>
      <c r="D21" s="12" t="s">
        <v>222</v>
      </c>
      <c r="E21" s="12" t="s">
        <v>112</v>
      </c>
      <c r="F21" s="12" t="s">
        <v>160</v>
      </c>
      <c r="G21" s="12" t="s">
        <v>102</v>
      </c>
      <c r="H21" s="12" t="s">
        <v>137</v>
      </c>
      <c r="I21" s="12" t="s">
        <v>115</v>
      </c>
      <c r="J21" s="12" t="s">
        <v>104</v>
      </c>
      <c r="K21" s="12" t="s">
        <v>116</v>
      </c>
      <c r="L21" s="12" t="s">
        <v>117</v>
      </c>
      <c r="M21" s="12" t="s">
        <v>153</v>
      </c>
      <c r="N21" s="12" t="s">
        <v>71</v>
      </c>
      <c r="O21" s="12" t="s">
        <v>106</v>
      </c>
      <c r="P21" s="12" t="s">
        <v>73</v>
      </c>
      <c r="Q21" s="12" t="s">
        <v>74</v>
      </c>
      <c r="R21" s="12" t="s">
        <v>75</v>
      </c>
      <c r="S21" s="12" t="s">
        <v>76</v>
      </c>
      <c r="T21" s="12" t="s">
        <v>167</v>
      </c>
      <c r="U21" s="12" t="s">
        <v>78</v>
      </c>
      <c r="V21" s="12" t="s">
        <v>78</v>
      </c>
      <c r="W21" s="12" t="s">
        <v>223</v>
      </c>
    </row>
    <row r="22" customFormat="false" ht="45" hidden="false" customHeight="true" outlineLevel="0" collapsed="false">
      <c r="A22" s="9" t="s">
        <v>224</v>
      </c>
      <c r="B22" s="10" t="s">
        <v>225</v>
      </c>
      <c r="C22" s="10" t="s">
        <v>183</v>
      </c>
      <c r="D22" s="10" t="s">
        <v>226</v>
      </c>
      <c r="E22" s="10" t="s">
        <v>112</v>
      </c>
      <c r="F22" s="10" t="s">
        <v>101</v>
      </c>
      <c r="G22" s="10" t="s">
        <v>64</v>
      </c>
      <c r="H22" s="10" t="s">
        <v>87</v>
      </c>
      <c r="I22" s="10" t="s">
        <v>115</v>
      </c>
      <c r="J22" s="10" t="s">
        <v>227</v>
      </c>
      <c r="K22" s="10" t="s">
        <v>90</v>
      </c>
      <c r="L22" s="10" t="s">
        <v>69</v>
      </c>
      <c r="M22" s="10" t="s">
        <v>70</v>
      </c>
      <c r="N22" s="10" t="s">
        <v>71</v>
      </c>
      <c r="O22" s="10" t="s">
        <v>72</v>
      </c>
      <c r="P22" s="10" t="s">
        <v>73</v>
      </c>
      <c r="Q22" s="10" t="s">
        <v>74</v>
      </c>
      <c r="R22" s="10" t="s">
        <v>75</v>
      </c>
      <c r="S22" s="10" t="s">
        <v>76</v>
      </c>
      <c r="T22" s="10" t="s">
        <v>194</v>
      </c>
      <c r="U22" s="10" t="s">
        <v>78</v>
      </c>
      <c r="V22" s="10" t="s">
        <v>78</v>
      </c>
      <c r="W22" s="10" t="s">
        <v>228</v>
      </c>
    </row>
    <row r="23" customFormat="false" ht="45" hidden="false" customHeight="true" outlineLevel="0" collapsed="false">
      <c r="A23" s="11" t="s">
        <v>229</v>
      </c>
      <c r="B23" s="12" t="s">
        <v>230</v>
      </c>
      <c r="C23" s="12" t="s">
        <v>82</v>
      </c>
      <c r="D23" s="12" t="s">
        <v>231</v>
      </c>
      <c r="E23" s="12" t="s">
        <v>84</v>
      </c>
      <c r="F23" s="12" t="s">
        <v>203</v>
      </c>
      <c r="G23" s="12" t="s">
        <v>86</v>
      </c>
      <c r="H23" s="12" t="s">
        <v>87</v>
      </c>
      <c r="I23" s="12" t="s">
        <v>125</v>
      </c>
      <c r="J23" s="12" t="s">
        <v>89</v>
      </c>
      <c r="K23" s="12" t="s">
        <v>90</v>
      </c>
      <c r="L23" s="12" t="s">
        <v>91</v>
      </c>
      <c r="M23" s="12" t="s">
        <v>153</v>
      </c>
      <c r="N23" s="12" t="s">
        <v>92</v>
      </c>
      <c r="O23" s="12" t="s">
        <v>129</v>
      </c>
      <c r="P23" s="12" t="s">
        <v>215</v>
      </c>
      <c r="Q23" s="12" t="s">
        <v>74</v>
      </c>
      <c r="R23" s="12" t="s">
        <v>95</v>
      </c>
      <c r="S23" s="12" t="s">
        <v>96</v>
      </c>
      <c r="T23" s="12" t="s">
        <v>161</v>
      </c>
      <c r="U23" s="12" t="s">
        <v>97</v>
      </c>
      <c r="V23" s="12" t="s">
        <v>97</v>
      </c>
      <c r="W23" s="12" t="s">
        <v>232</v>
      </c>
    </row>
    <row r="24" customFormat="false" ht="45" hidden="false" customHeight="true" outlineLevel="0" collapsed="false">
      <c r="A24" s="9" t="s">
        <v>233</v>
      </c>
      <c r="B24" s="10" t="s">
        <v>234</v>
      </c>
      <c r="C24" s="10" t="s">
        <v>82</v>
      </c>
      <c r="D24" s="10" t="s">
        <v>235</v>
      </c>
      <c r="E24" s="10" t="s">
        <v>62</v>
      </c>
      <c r="F24" s="10" t="s">
        <v>207</v>
      </c>
      <c r="G24" s="10" t="s">
        <v>186</v>
      </c>
      <c r="H24" s="10" t="s">
        <v>114</v>
      </c>
      <c r="I24" s="10" t="s">
        <v>236</v>
      </c>
      <c r="J24" s="10" t="s">
        <v>188</v>
      </c>
      <c r="K24" s="10" t="s">
        <v>140</v>
      </c>
      <c r="L24" s="10" t="s">
        <v>189</v>
      </c>
      <c r="M24" s="10" t="s">
        <v>70</v>
      </c>
      <c r="N24" s="10" t="s">
        <v>92</v>
      </c>
      <c r="O24" s="10" t="s">
        <v>190</v>
      </c>
      <c r="P24" s="10" t="s">
        <v>191</v>
      </c>
      <c r="Q24" s="10" t="s">
        <v>74</v>
      </c>
      <c r="R24" s="10" t="s">
        <v>192</v>
      </c>
      <c r="S24" s="10" t="s">
        <v>193</v>
      </c>
      <c r="T24" s="10" t="s">
        <v>194</v>
      </c>
      <c r="U24" s="10" t="s">
        <v>195</v>
      </c>
      <c r="V24" s="10" t="s">
        <v>195</v>
      </c>
      <c r="W24" s="10" t="s">
        <v>237</v>
      </c>
    </row>
    <row r="25" customFormat="false" ht="32.8" hidden="false" customHeight="false" outlineLevel="0" collapsed="false">
      <c r="A25" s="11" t="s">
        <v>238</v>
      </c>
      <c r="B25" s="12" t="s">
        <v>239</v>
      </c>
      <c r="C25" s="12" t="s">
        <v>201</v>
      </c>
      <c r="D25" s="12" t="s">
        <v>240</v>
      </c>
      <c r="E25" s="12" t="s">
        <v>112</v>
      </c>
      <c r="F25" s="12" t="s">
        <v>135</v>
      </c>
      <c r="G25" s="12" t="s">
        <v>136</v>
      </c>
      <c r="H25" s="12" t="s">
        <v>87</v>
      </c>
      <c r="I25" s="12" t="s">
        <v>241</v>
      </c>
      <c r="J25" s="12" t="s">
        <v>242</v>
      </c>
      <c r="K25" s="12" t="s">
        <v>116</v>
      </c>
      <c r="L25" s="12" t="s">
        <v>243</v>
      </c>
      <c r="M25" s="12" t="s">
        <v>105</v>
      </c>
      <c r="N25" s="12" t="s">
        <v>92</v>
      </c>
      <c r="O25" s="12" t="s">
        <v>244</v>
      </c>
      <c r="P25" s="12" t="s">
        <v>245</v>
      </c>
      <c r="Q25" s="12" t="s">
        <v>144</v>
      </c>
      <c r="R25" s="12" t="s">
        <v>145</v>
      </c>
      <c r="S25" s="12" t="s">
        <v>146</v>
      </c>
      <c r="T25" s="12" t="s">
        <v>130</v>
      </c>
      <c r="U25" s="12" t="s">
        <v>147</v>
      </c>
      <c r="V25" s="12" t="s">
        <v>147</v>
      </c>
      <c r="W25" s="12" t="s">
        <v>246</v>
      </c>
    </row>
    <row r="26" customFormat="false" ht="32.8" hidden="false" customHeight="false" outlineLevel="0" collapsed="false">
      <c r="A26" s="9" t="s">
        <v>247</v>
      </c>
      <c r="B26" s="10" t="s">
        <v>248</v>
      </c>
      <c r="C26" s="10" t="s">
        <v>122</v>
      </c>
      <c r="D26" s="10" t="s">
        <v>178</v>
      </c>
      <c r="E26" s="10" t="s">
        <v>112</v>
      </c>
      <c r="F26" s="10" t="s">
        <v>249</v>
      </c>
      <c r="G26" s="10" t="s">
        <v>250</v>
      </c>
      <c r="H26" s="10" t="s">
        <v>87</v>
      </c>
      <c r="I26" s="10" t="s">
        <v>138</v>
      </c>
      <c r="J26" s="10" t="s">
        <v>139</v>
      </c>
      <c r="K26" s="10" t="s">
        <v>116</v>
      </c>
      <c r="L26" s="10" t="s">
        <v>141</v>
      </c>
      <c r="M26" s="10" t="s">
        <v>128</v>
      </c>
      <c r="N26" s="10" t="s">
        <v>92</v>
      </c>
      <c r="O26" s="10" t="s">
        <v>251</v>
      </c>
      <c r="P26" s="10" t="s">
        <v>143</v>
      </c>
      <c r="Q26" s="10" t="s">
        <v>144</v>
      </c>
      <c r="R26" s="10" t="s">
        <v>145</v>
      </c>
      <c r="S26" s="10" t="s">
        <v>146</v>
      </c>
      <c r="T26" s="10" t="s">
        <v>252</v>
      </c>
      <c r="U26" s="10" t="s">
        <v>147</v>
      </c>
      <c r="V26" s="10" t="s">
        <v>147</v>
      </c>
      <c r="W26" s="10" t="s">
        <v>253</v>
      </c>
    </row>
    <row r="27" customFormat="false" ht="32.8" hidden="false" customHeight="false" outlineLevel="0" collapsed="false">
      <c r="A27" s="11" t="s">
        <v>254</v>
      </c>
      <c r="B27" s="12" t="s">
        <v>248</v>
      </c>
      <c r="C27" s="12" t="s">
        <v>255</v>
      </c>
      <c r="D27" s="12" t="s">
        <v>219</v>
      </c>
      <c r="E27" s="12" t="s">
        <v>84</v>
      </c>
      <c r="F27" s="12" t="s">
        <v>135</v>
      </c>
      <c r="G27" s="12" t="s">
        <v>256</v>
      </c>
      <c r="H27" s="12" t="s">
        <v>87</v>
      </c>
      <c r="I27" s="12" t="s">
        <v>138</v>
      </c>
      <c r="J27" s="12" t="s">
        <v>242</v>
      </c>
      <c r="K27" s="12" t="s">
        <v>140</v>
      </c>
      <c r="L27" s="12" t="s">
        <v>243</v>
      </c>
      <c r="M27" s="12" t="s">
        <v>105</v>
      </c>
      <c r="N27" s="12" t="s">
        <v>92</v>
      </c>
      <c r="O27" s="12" t="s">
        <v>251</v>
      </c>
      <c r="P27" s="12" t="s">
        <v>143</v>
      </c>
      <c r="Q27" s="12" t="s">
        <v>144</v>
      </c>
      <c r="R27" s="12" t="s">
        <v>145</v>
      </c>
      <c r="S27" s="12" t="s">
        <v>146</v>
      </c>
      <c r="T27" s="12" t="s">
        <v>161</v>
      </c>
      <c r="U27" s="12" t="s">
        <v>147</v>
      </c>
      <c r="V27" s="12" t="s">
        <v>147</v>
      </c>
      <c r="W27" s="12" t="s">
        <v>257</v>
      </c>
    </row>
    <row r="28" customFormat="false" ht="32.8" hidden="false" customHeight="false" outlineLevel="0" collapsed="false">
      <c r="A28" s="9" t="s">
        <v>258</v>
      </c>
      <c r="B28" s="10" t="s">
        <v>259</v>
      </c>
      <c r="C28" s="10" t="s">
        <v>255</v>
      </c>
      <c r="D28" s="10" t="s">
        <v>240</v>
      </c>
      <c r="E28" s="10" t="s">
        <v>84</v>
      </c>
      <c r="F28" s="10" t="s">
        <v>249</v>
      </c>
      <c r="G28" s="10" t="s">
        <v>250</v>
      </c>
      <c r="H28" s="10" t="s">
        <v>87</v>
      </c>
      <c r="I28" s="10" t="s">
        <v>138</v>
      </c>
      <c r="J28" s="10" t="s">
        <v>139</v>
      </c>
      <c r="K28" s="10" t="s">
        <v>140</v>
      </c>
      <c r="L28" s="10" t="s">
        <v>243</v>
      </c>
      <c r="M28" s="10" t="s">
        <v>128</v>
      </c>
      <c r="N28" s="10" t="s">
        <v>92</v>
      </c>
      <c r="O28" s="10" t="s">
        <v>244</v>
      </c>
      <c r="P28" s="10" t="s">
        <v>245</v>
      </c>
      <c r="Q28" s="10" t="s">
        <v>144</v>
      </c>
      <c r="R28" s="10" t="s">
        <v>145</v>
      </c>
      <c r="S28" s="10" t="s">
        <v>146</v>
      </c>
      <c r="T28" s="10" t="s">
        <v>252</v>
      </c>
      <c r="U28" s="10" t="s">
        <v>147</v>
      </c>
      <c r="V28" s="10" t="s">
        <v>147</v>
      </c>
      <c r="W28" s="10" t="s">
        <v>260</v>
      </c>
    </row>
    <row r="29" customFormat="false" ht="32.8" hidden="false" customHeight="false" outlineLevel="0" collapsed="false">
      <c r="A29" s="11" t="s">
        <v>261</v>
      </c>
      <c r="B29" s="12" t="s">
        <v>262</v>
      </c>
      <c r="C29" s="12" t="s">
        <v>255</v>
      </c>
      <c r="D29" s="12" t="s">
        <v>263</v>
      </c>
      <c r="E29" s="12" t="s">
        <v>112</v>
      </c>
      <c r="F29" s="12" t="s">
        <v>207</v>
      </c>
      <c r="G29" s="12" t="s">
        <v>264</v>
      </c>
      <c r="H29" s="12" t="s">
        <v>87</v>
      </c>
      <c r="I29" s="12" t="s">
        <v>187</v>
      </c>
      <c r="J29" s="12" t="s">
        <v>209</v>
      </c>
      <c r="K29" s="12" t="s">
        <v>116</v>
      </c>
      <c r="L29" s="12" t="s">
        <v>189</v>
      </c>
      <c r="M29" s="12" t="s">
        <v>105</v>
      </c>
      <c r="N29" s="12" t="s">
        <v>92</v>
      </c>
      <c r="O29" s="12" t="s">
        <v>190</v>
      </c>
      <c r="P29" s="12" t="s">
        <v>191</v>
      </c>
      <c r="Q29" s="12" t="s">
        <v>74</v>
      </c>
      <c r="R29" s="12" t="s">
        <v>192</v>
      </c>
      <c r="S29" s="12" t="s">
        <v>193</v>
      </c>
      <c r="T29" s="12" t="s">
        <v>161</v>
      </c>
      <c r="U29" s="12" t="s">
        <v>195</v>
      </c>
      <c r="V29" s="12" t="s">
        <v>195</v>
      </c>
      <c r="W29" s="12" t="s">
        <v>265</v>
      </c>
    </row>
    <row r="30" customFormat="false" ht="32.8" hidden="false" customHeight="false" outlineLevel="0" collapsed="false">
      <c r="A30" s="9" t="s">
        <v>266</v>
      </c>
      <c r="B30" s="10" t="s">
        <v>267</v>
      </c>
      <c r="C30" s="10" t="s">
        <v>82</v>
      </c>
      <c r="D30" s="10" t="s">
        <v>268</v>
      </c>
      <c r="E30" s="10" t="s">
        <v>84</v>
      </c>
      <c r="F30" s="10" t="s">
        <v>63</v>
      </c>
      <c r="G30" s="10" t="s">
        <v>113</v>
      </c>
      <c r="H30" s="10" t="s">
        <v>65</v>
      </c>
      <c r="I30" s="10" t="s">
        <v>115</v>
      </c>
      <c r="J30" s="10" t="s">
        <v>104</v>
      </c>
      <c r="K30" s="10" t="s">
        <v>68</v>
      </c>
      <c r="L30" s="10" t="s">
        <v>117</v>
      </c>
      <c r="M30" s="10" t="s">
        <v>153</v>
      </c>
      <c r="N30" s="10" t="s">
        <v>71</v>
      </c>
      <c r="O30" s="10" t="s">
        <v>72</v>
      </c>
      <c r="P30" s="10" t="s">
        <v>73</v>
      </c>
      <c r="Q30" s="10" t="s">
        <v>74</v>
      </c>
      <c r="R30" s="10" t="s">
        <v>75</v>
      </c>
      <c r="S30" s="10" t="s">
        <v>76</v>
      </c>
      <c r="T30" s="10" t="s">
        <v>107</v>
      </c>
      <c r="U30" s="10" t="s">
        <v>78</v>
      </c>
      <c r="V30" s="10" t="s">
        <v>78</v>
      </c>
      <c r="W30" s="10" t="s">
        <v>180</v>
      </c>
    </row>
    <row r="31" customFormat="false" ht="32.8" hidden="false" customHeight="false" outlineLevel="0" collapsed="false">
      <c r="A31" s="11" t="s">
        <v>269</v>
      </c>
      <c r="B31" s="12" t="s">
        <v>270</v>
      </c>
      <c r="C31" s="12" t="s">
        <v>151</v>
      </c>
      <c r="D31" s="12" t="s">
        <v>271</v>
      </c>
      <c r="E31" s="12" t="s">
        <v>112</v>
      </c>
      <c r="F31" s="12" t="s">
        <v>185</v>
      </c>
      <c r="G31" s="12" t="s">
        <v>208</v>
      </c>
      <c r="H31" s="12" t="s">
        <v>137</v>
      </c>
      <c r="I31" s="12" t="s">
        <v>187</v>
      </c>
      <c r="J31" s="12" t="s">
        <v>209</v>
      </c>
      <c r="K31" s="12" t="s">
        <v>68</v>
      </c>
      <c r="L31" s="12" t="s">
        <v>189</v>
      </c>
      <c r="M31" s="12" t="s">
        <v>70</v>
      </c>
      <c r="N31" s="12" t="s">
        <v>92</v>
      </c>
      <c r="O31" s="12" t="s">
        <v>190</v>
      </c>
      <c r="P31" s="12" t="s">
        <v>191</v>
      </c>
      <c r="Q31" s="12" t="s">
        <v>74</v>
      </c>
      <c r="R31" s="12" t="s">
        <v>192</v>
      </c>
      <c r="S31" s="12" t="s">
        <v>193</v>
      </c>
      <c r="T31" s="12" t="s">
        <v>252</v>
      </c>
      <c r="U31" s="12" t="s">
        <v>195</v>
      </c>
      <c r="V31" s="12" t="s">
        <v>195</v>
      </c>
      <c r="W31" s="12" t="s">
        <v>272</v>
      </c>
    </row>
    <row r="32" customFormat="false" ht="32.8" hidden="false" customHeight="false" outlineLevel="0" collapsed="false">
      <c r="A32" s="9" t="s">
        <v>273</v>
      </c>
      <c r="B32" s="10" t="s">
        <v>274</v>
      </c>
      <c r="C32" s="10" t="s">
        <v>255</v>
      </c>
      <c r="D32" s="10" t="s">
        <v>275</v>
      </c>
      <c r="E32" s="10" t="s">
        <v>62</v>
      </c>
      <c r="F32" s="10" t="s">
        <v>249</v>
      </c>
      <c r="G32" s="10" t="s">
        <v>136</v>
      </c>
      <c r="H32" s="10" t="s">
        <v>65</v>
      </c>
      <c r="I32" s="10" t="s">
        <v>138</v>
      </c>
      <c r="J32" s="10" t="s">
        <v>276</v>
      </c>
      <c r="K32" s="10" t="s">
        <v>140</v>
      </c>
      <c r="L32" s="10" t="s">
        <v>141</v>
      </c>
      <c r="M32" s="10" t="s">
        <v>105</v>
      </c>
      <c r="N32" s="10" t="s">
        <v>92</v>
      </c>
      <c r="O32" s="10" t="s">
        <v>251</v>
      </c>
      <c r="P32" s="10" t="s">
        <v>143</v>
      </c>
      <c r="Q32" s="10" t="s">
        <v>144</v>
      </c>
      <c r="R32" s="10" t="s">
        <v>145</v>
      </c>
      <c r="S32" s="10" t="s">
        <v>146</v>
      </c>
      <c r="T32" s="10" t="s">
        <v>277</v>
      </c>
      <c r="U32" s="10" t="s">
        <v>147</v>
      </c>
      <c r="V32" s="10" t="s">
        <v>147</v>
      </c>
      <c r="W32" s="10" t="s">
        <v>278</v>
      </c>
    </row>
    <row r="33" customFormat="false" ht="32.8" hidden="false" customHeight="false" outlineLevel="0" collapsed="false">
      <c r="A33" s="11" t="s">
        <v>279</v>
      </c>
      <c r="B33" s="12" t="s">
        <v>280</v>
      </c>
      <c r="C33" s="12" t="s">
        <v>122</v>
      </c>
      <c r="D33" s="12" t="s">
        <v>281</v>
      </c>
      <c r="E33" s="12" t="s">
        <v>62</v>
      </c>
      <c r="F33" s="12" t="s">
        <v>85</v>
      </c>
      <c r="G33" s="12" t="s">
        <v>124</v>
      </c>
      <c r="H33" s="12" t="s">
        <v>114</v>
      </c>
      <c r="I33" s="12" t="s">
        <v>88</v>
      </c>
      <c r="J33" s="12" t="s">
        <v>89</v>
      </c>
      <c r="K33" s="12" t="s">
        <v>68</v>
      </c>
      <c r="L33" s="12" t="s">
        <v>127</v>
      </c>
      <c r="M33" s="12" t="s">
        <v>153</v>
      </c>
      <c r="N33" s="12" t="s">
        <v>92</v>
      </c>
      <c r="O33" s="12" t="s">
        <v>93</v>
      </c>
      <c r="P33" s="12" t="s">
        <v>215</v>
      </c>
      <c r="Q33" s="12" t="s">
        <v>74</v>
      </c>
      <c r="R33" s="12" t="s">
        <v>95</v>
      </c>
      <c r="S33" s="12" t="s">
        <v>96</v>
      </c>
      <c r="T33" s="12" t="s">
        <v>277</v>
      </c>
      <c r="U33" s="12" t="s">
        <v>97</v>
      </c>
      <c r="V33" s="12" t="s">
        <v>97</v>
      </c>
      <c r="W33" s="12" t="s">
        <v>204</v>
      </c>
    </row>
  </sheetData>
  <mergeCells count="9">
    <mergeCell ref="A1:T1"/>
    <mergeCell ref="A2:T2"/>
    <mergeCell ref="A3:E3"/>
    <mergeCell ref="F3:H3"/>
    <mergeCell ref="I3:K3"/>
    <mergeCell ref="L3:N3"/>
    <mergeCell ref="O3:Q3"/>
    <mergeCell ref="R3:T3"/>
    <mergeCell ref="U3:W3"/>
  </mergeCells>
  <dataValidations count="3">
    <dataValidation allowBlank="true" errorStyle="stop" operator="between" showDropDown="false" showErrorMessage="false" showInputMessage="false" sqref="E5:E24" type="list">
      <formula1>"Super Luxury,Luxury,Premium,Economy,Value,All Segments"</formula1>
      <formula2>0</formula2>
    </dataValidation>
    <dataValidation allowBlank="true" errorStyle="stop" operator="between" showDropDown="false" showErrorMessage="false" showInputMessage="false" sqref="U5:U24" type="list">
      <formula1>"Asian Paints,Birla Opus,Dulux Paints,JSW Paints,Multiple,None"</formula1>
      <formula2>0</formula2>
    </dataValidation>
    <dataValidation allowBlank="true" errorStyle="stop" operator="between" showDropDown="false" showErrorMessage="false" showInputMessage="false" sqref="V5:V24" type="list">
      <formula1>"Asian Paints,Birla Opus,Dulux Paints,JSW Paints"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69" zoomScaleNormal="69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12" min="6" style="0" width="30"/>
    <col collapsed="false" customWidth="true" hidden="false" outlineLevel="0" max="13" min="13" style="0" width="31.09"/>
    <col collapsed="false" customWidth="true" hidden="false" outlineLevel="0" max="14" min="14" style="0" width="21.73"/>
    <col collapsed="false" customWidth="true" hidden="false" outlineLevel="0" max="15" min="15" style="0" width="22"/>
    <col collapsed="false" customWidth="true" hidden="false" outlineLevel="0" max="16" min="16" style="0" width="35"/>
  </cols>
  <sheetData>
    <row r="1" customFormat="false" ht="27.75" hidden="false" customHeight="true" outlineLevel="0" collapsed="false">
      <c r="A1" s="13" t="s">
        <v>282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9.5" hidden="false" customHeight="true" outlineLevel="0" collapsed="false">
      <c r="A2" s="6" t="s">
        <v>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19.5" hidden="false" customHeight="true" outlineLevel="0" collapsed="false">
      <c r="A3" s="7" t="s">
        <v>51</v>
      </c>
      <c r="B3" s="7"/>
      <c r="C3" s="7"/>
      <c r="D3" s="7"/>
      <c r="E3" s="7"/>
      <c r="F3" s="7" t="s">
        <v>283</v>
      </c>
      <c r="G3" s="7"/>
      <c r="H3" s="7"/>
      <c r="I3" s="7" t="s">
        <v>284</v>
      </c>
      <c r="J3" s="7"/>
      <c r="K3" s="7" t="s">
        <v>285</v>
      </c>
      <c r="L3" s="7"/>
      <c r="M3" s="7"/>
      <c r="N3" s="8" t="s">
        <v>57</v>
      </c>
      <c r="O3" s="8"/>
      <c r="P3" s="8"/>
    </row>
    <row r="4" customFormat="false" ht="39.75" hidden="false" customHeight="true" outlineLevel="0" collapsed="false">
      <c r="A4" s="9" t="s">
        <v>286</v>
      </c>
      <c r="B4" s="10" t="s">
        <v>287</v>
      </c>
      <c r="C4" s="10" t="s">
        <v>122</v>
      </c>
      <c r="D4" s="10" t="s">
        <v>288</v>
      </c>
      <c r="E4" s="10" t="s">
        <v>289</v>
      </c>
      <c r="F4" s="10" t="s">
        <v>290</v>
      </c>
      <c r="G4" s="10" t="s">
        <v>291</v>
      </c>
      <c r="H4" s="10" t="s">
        <v>292</v>
      </c>
      <c r="I4" s="10" t="s">
        <v>293</v>
      </c>
      <c r="J4" s="10" t="s">
        <v>294</v>
      </c>
      <c r="K4" s="10" t="s">
        <v>295</v>
      </c>
      <c r="L4" s="10" t="s">
        <v>296</v>
      </c>
      <c r="M4" s="10" t="s">
        <v>297</v>
      </c>
      <c r="N4" s="10" t="s">
        <v>147</v>
      </c>
      <c r="O4" s="10" t="s">
        <v>147</v>
      </c>
      <c r="P4" s="10" t="s">
        <v>298</v>
      </c>
    </row>
    <row r="5" customFormat="false" ht="45" hidden="false" customHeight="true" outlineLevel="0" collapsed="false">
      <c r="A5" s="11" t="s">
        <v>299</v>
      </c>
      <c r="B5" s="12" t="s">
        <v>300</v>
      </c>
      <c r="C5" s="12" t="s">
        <v>122</v>
      </c>
      <c r="D5" s="12" t="s">
        <v>301</v>
      </c>
      <c r="E5" s="12" t="s">
        <v>302</v>
      </c>
      <c r="F5" s="12" t="s">
        <v>303</v>
      </c>
      <c r="G5" s="12" t="s">
        <v>291</v>
      </c>
      <c r="H5" s="12" t="s">
        <v>292</v>
      </c>
      <c r="I5" s="12" t="s">
        <v>293</v>
      </c>
      <c r="J5" s="12" t="s">
        <v>294</v>
      </c>
      <c r="K5" s="12" t="s">
        <v>295</v>
      </c>
      <c r="L5" s="12" t="s">
        <v>296</v>
      </c>
      <c r="M5" s="12" t="s">
        <v>297</v>
      </c>
      <c r="N5" s="12" t="s">
        <v>147</v>
      </c>
      <c r="O5" s="12" t="s">
        <v>147</v>
      </c>
      <c r="P5" s="12" t="s">
        <v>304</v>
      </c>
    </row>
    <row r="6" customFormat="false" ht="45" hidden="false" customHeight="true" outlineLevel="0" collapsed="false">
      <c r="A6" s="9" t="s">
        <v>305</v>
      </c>
      <c r="B6" s="10" t="s">
        <v>306</v>
      </c>
      <c r="C6" s="10" t="s">
        <v>60</v>
      </c>
      <c r="D6" s="10" t="s">
        <v>83</v>
      </c>
      <c r="E6" s="10" t="s">
        <v>307</v>
      </c>
      <c r="F6" s="10" t="s">
        <v>308</v>
      </c>
      <c r="G6" s="10" t="s">
        <v>309</v>
      </c>
      <c r="H6" s="10" t="s">
        <v>310</v>
      </c>
      <c r="I6" s="10" t="s">
        <v>311</v>
      </c>
      <c r="J6" s="10" t="s">
        <v>312</v>
      </c>
      <c r="K6" s="10" t="s">
        <v>313</v>
      </c>
      <c r="L6" s="10" t="s">
        <v>314</v>
      </c>
      <c r="M6" s="10" t="s">
        <v>315</v>
      </c>
      <c r="N6" s="10" t="s">
        <v>78</v>
      </c>
      <c r="O6" s="10" t="s">
        <v>78</v>
      </c>
      <c r="P6" s="10" t="s">
        <v>316</v>
      </c>
    </row>
    <row r="7" customFormat="false" ht="45" hidden="false" customHeight="true" outlineLevel="0" collapsed="false">
      <c r="A7" s="11" t="s">
        <v>317</v>
      </c>
      <c r="B7" s="12" t="s">
        <v>318</v>
      </c>
      <c r="C7" s="12" t="s">
        <v>134</v>
      </c>
      <c r="D7" s="12" t="s">
        <v>319</v>
      </c>
      <c r="E7" s="12" t="s">
        <v>289</v>
      </c>
      <c r="F7" s="12" t="s">
        <v>320</v>
      </c>
      <c r="G7" s="12" t="s">
        <v>321</v>
      </c>
      <c r="H7" s="12" t="s">
        <v>322</v>
      </c>
      <c r="I7" s="12" t="s">
        <v>323</v>
      </c>
      <c r="J7" s="12" t="s">
        <v>324</v>
      </c>
      <c r="K7" s="12" t="s">
        <v>325</v>
      </c>
      <c r="L7" s="12" t="s">
        <v>326</v>
      </c>
      <c r="M7" s="12" t="s">
        <v>327</v>
      </c>
      <c r="N7" s="12" t="s">
        <v>195</v>
      </c>
      <c r="O7" s="12" t="s">
        <v>195</v>
      </c>
      <c r="P7" s="12" t="s">
        <v>328</v>
      </c>
    </row>
    <row r="8" customFormat="false" ht="45" hidden="false" customHeight="true" outlineLevel="0" collapsed="false">
      <c r="A8" s="9" t="s">
        <v>329</v>
      </c>
      <c r="B8" s="10" t="s">
        <v>330</v>
      </c>
      <c r="C8" s="10" t="s">
        <v>201</v>
      </c>
      <c r="D8" s="10" t="s">
        <v>331</v>
      </c>
      <c r="E8" s="10" t="s">
        <v>289</v>
      </c>
      <c r="F8" s="10" t="s">
        <v>332</v>
      </c>
      <c r="G8" s="10" t="s">
        <v>333</v>
      </c>
      <c r="H8" s="10" t="s">
        <v>322</v>
      </c>
      <c r="I8" s="10" t="s">
        <v>334</v>
      </c>
      <c r="J8" s="10" t="s">
        <v>335</v>
      </c>
      <c r="K8" s="10" t="s">
        <v>336</v>
      </c>
      <c r="L8" s="10" t="s">
        <v>337</v>
      </c>
      <c r="M8" s="10" t="s">
        <v>338</v>
      </c>
      <c r="N8" s="10" t="s">
        <v>97</v>
      </c>
      <c r="O8" s="10" t="s">
        <v>97</v>
      </c>
      <c r="P8" s="10" t="s">
        <v>298</v>
      </c>
    </row>
    <row r="9" customFormat="false" ht="45" hidden="false" customHeight="true" outlineLevel="0" collapsed="false">
      <c r="A9" s="11" t="s">
        <v>339</v>
      </c>
      <c r="B9" s="12" t="s">
        <v>340</v>
      </c>
      <c r="C9" s="12" t="s">
        <v>122</v>
      </c>
      <c r="D9" s="12" t="s">
        <v>341</v>
      </c>
      <c r="E9" s="12" t="s">
        <v>342</v>
      </c>
      <c r="F9" s="12" t="s">
        <v>343</v>
      </c>
      <c r="G9" s="12" t="s">
        <v>333</v>
      </c>
      <c r="H9" s="12" t="s">
        <v>322</v>
      </c>
      <c r="I9" s="12" t="s">
        <v>334</v>
      </c>
      <c r="J9" s="12" t="s">
        <v>335</v>
      </c>
      <c r="K9" s="12" t="s">
        <v>336</v>
      </c>
      <c r="L9" s="12" t="s">
        <v>344</v>
      </c>
      <c r="M9" s="12" t="s">
        <v>345</v>
      </c>
      <c r="N9" s="12" t="s">
        <v>97</v>
      </c>
      <c r="O9" s="12" t="s">
        <v>97</v>
      </c>
      <c r="P9" s="12" t="s">
        <v>346</v>
      </c>
    </row>
    <row r="10" customFormat="false" ht="45" hidden="false" customHeight="true" outlineLevel="0" collapsed="false">
      <c r="A10" s="9" t="s">
        <v>347</v>
      </c>
      <c r="B10" s="10" t="s">
        <v>348</v>
      </c>
      <c r="C10" s="10" t="s">
        <v>134</v>
      </c>
      <c r="D10" s="10" t="s">
        <v>349</v>
      </c>
      <c r="E10" s="10" t="s">
        <v>289</v>
      </c>
      <c r="F10" s="10" t="s">
        <v>343</v>
      </c>
      <c r="G10" s="10" t="s">
        <v>333</v>
      </c>
      <c r="H10" s="10" t="s">
        <v>322</v>
      </c>
      <c r="I10" s="10" t="s">
        <v>334</v>
      </c>
      <c r="J10" s="10" t="s">
        <v>335</v>
      </c>
      <c r="K10" s="10" t="s">
        <v>336</v>
      </c>
      <c r="L10" s="10" t="s">
        <v>344</v>
      </c>
      <c r="M10" s="10" t="s">
        <v>345</v>
      </c>
      <c r="N10" s="10" t="s">
        <v>97</v>
      </c>
      <c r="O10" s="10" t="s">
        <v>97</v>
      </c>
      <c r="P10" s="10" t="s">
        <v>346</v>
      </c>
    </row>
    <row r="11" customFormat="false" ht="45" hidden="false" customHeight="true" outlineLevel="0" collapsed="false">
      <c r="A11" s="11" t="s">
        <v>350</v>
      </c>
      <c r="B11" s="12" t="s">
        <v>351</v>
      </c>
      <c r="C11" s="12" t="s">
        <v>255</v>
      </c>
      <c r="D11" s="12" t="s">
        <v>178</v>
      </c>
      <c r="E11" s="12" t="s">
        <v>307</v>
      </c>
      <c r="F11" s="12" t="s">
        <v>343</v>
      </c>
      <c r="G11" s="12" t="s">
        <v>333</v>
      </c>
      <c r="H11" s="12" t="s">
        <v>292</v>
      </c>
      <c r="I11" s="12" t="s">
        <v>334</v>
      </c>
      <c r="J11" s="12" t="s">
        <v>335</v>
      </c>
      <c r="K11" s="12" t="s">
        <v>336</v>
      </c>
      <c r="L11" s="12" t="s">
        <v>337</v>
      </c>
      <c r="M11" s="12" t="s">
        <v>338</v>
      </c>
      <c r="N11" s="12" t="s">
        <v>97</v>
      </c>
      <c r="O11" s="12" t="s">
        <v>97</v>
      </c>
      <c r="P11" s="12" t="s">
        <v>346</v>
      </c>
    </row>
    <row r="12" customFormat="false" ht="45" hidden="false" customHeight="true" outlineLevel="0" collapsed="false">
      <c r="A12" s="9" t="s">
        <v>352</v>
      </c>
      <c r="B12" s="10" t="s">
        <v>353</v>
      </c>
      <c r="C12" s="10" t="s">
        <v>82</v>
      </c>
      <c r="D12" s="10" t="s">
        <v>354</v>
      </c>
      <c r="E12" s="10" t="s">
        <v>289</v>
      </c>
      <c r="F12" s="10" t="s">
        <v>320</v>
      </c>
      <c r="G12" s="10" t="s">
        <v>321</v>
      </c>
      <c r="H12" s="10" t="s">
        <v>355</v>
      </c>
      <c r="I12" s="10" t="s">
        <v>323</v>
      </c>
      <c r="J12" s="10" t="s">
        <v>324</v>
      </c>
      <c r="K12" s="10" t="s">
        <v>325</v>
      </c>
      <c r="L12" s="10" t="s">
        <v>356</v>
      </c>
      <c r="M12" s="10" t="s">
        <v>357</v>
      </c>
      <c r="N12" s="10" t="s">
        <v>195</v>
      </c>
      <c r="O12" s="10" t="s">
        <v>195</v>
      </c>
      <c r="P12" s="10" t="s">
        <v>358</v>
      </c>
    </row>
    <row r="13" customFormat="false" ht="45" hidden="false" customHeight="true" outlineLevel="0" collapsed="false">
      <c r="A13" s="11" t="s">
        <v>359</v>
      </c>
      <c r="B13" s="12" t="s">
        <v>360</v>
      </c>
      <c r="C13" s="12" t="s">
        <v>177</v>
      </c>
      <c r="D13" s="12" t="s">
        <v>361</v>
      </c>
      <c r="E13" s="12" t="s">
        <v>307</v>
      </c>
      <c r="F13" s="12" t="s">
        <v>362</v>
      </c>
      <c r="G13" s="12" t="s">
        <v>309</v>
      </c>
      <c r="H13" s="12" t="s">
        <v>310</v>
      </c>
      <c r="I13" s="12" t="s">
        <v>311</v>
      </c>
      <c r="J13" s="12" t="s">
        <v>312</v>
      </c>
      <c r="K13" s="12" t="s">
        <v>313</v>
      </c>
      <c r="L13" s="12" t="s">
        <v>314</v>
      </c>
      <c r="M13" s="12" t="s">
        <v>363</v>
      </c>
      <c r="N13" s="12" t="s">
        <v>78</v>
      </c>
      <c r="O13" s="12" t="s">
        <v>78</v>
      </c>
      <c r="P13" s="12" t="s">
        <v>328</v>
      </c>
    </row>
    <row r="14" customFormat="false" ht="45" hidden="false" customHeight="true" outlineLevel="0" collapsed="false">
      <c r="A14" s="9" t="s">
        <v>364</v>
      </c>
      <c r="B14" s="10" t="s">
        <v>365</v>
      </c>
      <c r="C14" s="10" t="s">
        <v>183</v>
      </c>
      <c r="D14" s="10" t="s">
        <v>354</v>
      </c>
      <c r="E14" s="10" t="s">
        <v>302</v>
      </c>
      <c r="F14" s="10" t="s">
        <v>332</v>
      </c>
      <c r="G14" s="10" t="s">
        <v>333</v>
      </c>
      <c r="H14" s="10" t="s">
        <v>322</v>
      </c>
      <c r="I14" s="10" t="s">
        <v>334</v>
      </c>
      <c r="J14" s="10" t="s">
        <v>335</v>
      </c>
      <c r="K14" s="10" t="s">
        <v>366</v>
      </c>
      <c r="L14" s="10" t="s">
        <v>344</v>
      </c>
      <c r="M14" s="10" t="s">
        <v>338</v>
      </c>
      <c r="N14" s="10" t="s">
        <v>97</v>
      </c>
      <c r="O14" s="10" t="s">
        <v>97</v>
      </c>
      <c r="P14" s="10" t="s">
        <v>367</v>
      </c>
    </row>
    <row r="15" customFormat="false" ht="45" hidden="false" customHeight="true" outlineLevel="0" collapsed="false">
      <c r="A15" s="11" t="s">
        <v>368</v>
      </c>
      <c r="B15" s="12" t="s">
        <v>369</v>
      </c>
      <c r="C15" s="12" t="s">
        <v>158</v>
      </c>
      <c r="D15" s="12" t="s">
        <v>61</v>
      </c>
      <c r="E15" s="12" t="s">
        <v>307</v>
      </c>
      <c r="F15" s="12" t="s">
        <v>362</v>
      </c>
      <c r="G15" s="12" t="s">
        <v>309</v>
      </c>
      <c r="H15" s="12" t="s">
        <v>310</v>
      </c>
      <c r="I15" s="12" t="s">
        <v>311</v>
      </c>
      <c r="J15" s="12" t="s">
        <v>312</v>
      </c>
      <c r="K15" s="12" t="s">
        <v>370</v>
      </c>
      <c r="L15" s="12" t="s">
        <v>314</v>
      </c>
      <c r="M15" s="12" t="s">
        <v>363</v>
      </c>
      <c r="N15" s="12" t="s">
        <v>78</v>
      </c>
      <c r="O15" s="12" t="s">
        <v>78</v>
      </c>
      <c r="P15" s="12" t="s">
        <v>371</v>
      </c>
    </row>
    <row r="16" customFormat="false" ht="45" hidden="false" customHeight="true" outlineLevel="0" collapsed="false">
      <c r="A16" s="9" t="s">
        <v>372</v>
      </c>
      <c r="B16" s="10" t="s">
        <v>373</v>
      </c>
      <c r="C16" s="10" t="s">
        <v>122</v>
      </c>
      <c r="D16" s="10" t="s">
        <v>235</v>
      </c>
      <c r="E16" s="10" t="s">
        <v>342</v>
      </c>
      <c r="F16" s="10" t="s">
        <v>308</v>
      </c>
      <c r="G16" s="10" t="s">
        <v>309</v>
      </c>
      <c r="H16" s="10" t="s">
        <v>322</v>
      </c>
      <c r="I16" s="10" t="s">
        <v>311</v>
      </c>
      <c r="J16" s="10" t="s">
        <v>312</v>
      </c>
      <c r="K16" s="10" t="s">
        <v>313</v>
      </c>
      <c r="L16" s="10" t="s">
        <v>374</v>
      </c>
      <c r="M16" s="10" t="s">
        <v>315</v>
      </c>
      <c r="N16" s="10" t="s">
        <v>78</v>
      </c>
      <c r="O16" s="10" t="s">
        <v>78</v>
      </c>
      <c r="P16" s="10" t="s">
        <v>328</v>
      </c>
    </row>
    <row r="17" customFormat="false" ht="45" hidden="false" customHeight="true" outlineLevel="0" collapsed="false">
      <c r="A17" s="11" t="s">
        <v>375</v>
      </c>
      <c r="B17" s="12" t="s">
        <v>376</v>
      </c>
      <c r="C17" s="12" t="s">
        <v>158</v>
      </c>
      <c r="D17" s="12" t="s">
        <v>377</v>
      </c>
      <c r="E17" s="12" t="s">
        <v>307</v>
      </c>
      <c r="F17" s="12" t="s">
        <v>290</v>
      </c>
      <c r="G17" s="12" t="s">
        <v>291</v>
      </c>
      <c r="H17" s="12" t="s">
        <v>292</v>
      </c>
      <c r="I17" s="12" t="s">
        <v>293</v>
      </c>
      <c r="J17" s="12" t="s">
        <v>294</v>
      </c>
      <c r="K17" s="12" t="s">
        <v>295</v>
      </c>
      <c r="L17" s="12" t="s">
        <v>296</v>
      </c>
      <c r="M17" s="12" t="s">
        <v>297</v>
      </c>
      <c r="N17" s="12" t="s">
        <v>147</v>
      </c>
      <c r="O17" s="12" t="s">
        <v>147</v>
      </c>
      <c r="P17" s="12" t="s">
        <v>346</v>
      </c>
    </row>
    <row r="18" customFormat="false" ht="45" hidden="false" customHeight="true" outlineLevel="0" collapsed="false">
      <c r="A18" s="9" t="s">
        <v>378</v>
      </c>
      <c r="B18" s="10" t="s">
        <v>379</v>
      </c>
      <c r="C18" s="10" t="s">
        <v>201</v>
      </c>
      <c r="D18" s="10" t="s">
        <v>380</v>
      </c>
      <c r="E18" s="10" t="s">
        <v>307</v>
      </c>
      <c r="F18" s="10" t="s">
        <v>343</v>
      </c>
      <c r="G18" s="10" t="s">
        <v>333</v>
      </c>
      <c r="H18" s="10" t="s">
        <v>322</v>
      </c>
      <c r="I18" s="10" t="s">
        <v>334</v>
      </c>
      <c r="J18" s="10" t="s">
        <v>335</v>
      </c>
      <c r="K18" s="10" t="s">
        <v>336</v>
      </c>
      <c r="L18" s="10" t="s">
        <v>337</v>
      </c>
      <c r="M18" s="10" t="s">
        <v>338</v>
      </c>
      <c r="N18" s="10" t="s">
        <v>97</v>
      </c>
      <c r="O18" s="10" t="s">
        <v>97</v>
      </c>
      <c r="P18" s="10" t="s">
        <v>298</v>
      </c>
    </row>
    <row r="19" customFormat="false" ht="45" hidden="false" customHeight="true" outlineLevel="0" collapsed="false">
      <c r="A19" s="11" t="s">
        <v>381</v>
      </c>
      <c r="B19" s="12" t="s">
        <v>382</v>
      </c>
      <c r="C19" s="12" t="s">
        <v>255</v>
      </c>
      <c r="D19" s="12" t="s">
        <v>231</v>
      </c>
      <c r="E19" s="12" t="s">
        <v>383</v>
      </c>
      <c r="F19" s="12" t="s">
        <v>320</v>
      </c>
      <c r="G19" s="12" t="s">
        <v>321</v>
      </c>
      <c r="H19" s="12" t="s">
        <v>355</v>
      </c>
      <c r="I19" s="12" t="s">
        <v>323</v>
      </c>
      <c r="J19" s="12" t="s">
        <v>324</v>
      </c>
      <c r="K19" s="12" t="s">
        <v>384</v>
      </c>
      <c r="L19" s="12" t="s">
        <v>326</v>
      </c>
      <c r="M19" s="12" t="s">
        <v>357</v>
      </c>
      <c r="N19" s="12" t="s">
        <v>195</v>
      </c>
      <c r="O19" s="12" t="s">
        <v>195</v>
      </c>
      <c r="P19" s="12" t="s">
        <v>358</v>
      </c>
    </row>
    <row r="20" customFormat="false" ht="45" hidden="false" customHeight="true" outlineLevel="0" collapsed="false">
      <c r="A20" s="9" t="s">
        <v>385</v>
      </c>
      <c r="B20" s="10" t="s">
        <v>386</v>
      </c>
      <c r="C20" s="10" t="s">
        <v>387</v>
      </c>
      <c r="D20" s="10" t="s">
        <v>219</v>
      </c>
      <c r="E20" s="10" t="s">
        <v>342</v>
      </c>
      <c r="F20" s="10" t="s">
        <v>308</v>
      </c>
      <c r="G20" s="10" t="s">
        <v>309</v>
      </c>
      <c r="H20" s="10" t="s">
        <v>322</v>
      </c>
      <c r="I20" s="10" t="s">
        <v>311</v>
      </c>
      <c r="J20" s="10" t="s">
        <v>312</v>
      </c>
      <c r="K20" s="10" t="s">
        <v>370</v>
      </c>
      <c r="L20" s="10" t="s">
        <v>374</v>
      </c>
      <c r="M20" s="10" t="s">
        <v>315</v>
      </c>
      <c r="N20" s="10" t="s">
        <v>78</v>
      </c>
      <c r="O20" s="10" t="s">
        <v>78</v>
      </c>
      <c r="P20" s="10" t="s">
        <v>346</v>
      </c>
    </row>
    <row r="21" customFormat="false" ht="45" hidden="false" customHeight="true" outlineLevel="0" collapsed="false">
      <c r="A21" s="11" t="s">
        <v>388</v>
      </c>
      <c r="B21" s="12" t="s">
        <v>389</v>
      </c>
      <c r="C21" s="12" t="s">
        <v>201</v>
      </c>
      <c r="D21" s="12" t="s">
        <v>390</v>
      </c>
      <c r="E21" s="12" t="s">
        <v>289</v>
      </c>
      <c r="F21" s="12" t="s">
        <v>332</v>
      </c>
      <c r="G21" s="12" t="s">
        <v>333</v>
      </c>
      <c r="H21" s="12" t="s">
        <v>322</v>
      </c>
      <c r="I21" s="12" t="s">
        <v>334</v>
      </c>
      <c r="J21" s="12" t="s">
        <v>335</v>
      </c>
      <c r="K21" s="12" t="s">
        <v>366</v>
      </c>
      <c r="L21" s="12" t="s">
        <v>344</v>
      </c>
      <c r="M21" s="12" t="s">
        <v>338</v>
      </c>
      <c r="N21" s="12" t="s">
        <v>97</v>
      </c>
      <c r="O21" s="12" t="s">
        <v>97</v>
      </c>
      <c r="P21" s="12" t="s">
        <v>358</v>
      </c>
    </row>
    <row r="22" customFormat="false" ht="45" hidden="false" customHeight="true" outlineLevel="0" collapsed="false">
      <c r="A22" s="9" t="s">
        <v>391</v>
      </c>
      <c r="B22" s="10" t="s">
        <v>392</v>
      </c>
      <c r="C22" s="10" t="s">
        <v>134</v>
      </c>
      <c r="D22" s="10" t="s">
        <v>393</v>
      </c>
      <c r="E22" s="10" t="s">
        <v>289</v>
      </c>
      <c r="F22" s="10" t="s">
        <v>362</v>
      </c>
      <c r="G22" s="10" t="s">
        <v>309</v>
      </c>
      <c r="H22" s="10" t="s">
        <v>355</v>
      </c>
      <c r="I22" s="10" t="s">
        <v>311</v>
      </c>
      <c r="J22" s="10" t="s">
        <v>312</v>
      </c>
      <c r="K22" s="10" t="s">
        <v>370</v>
      </c>
      <c r="L22" s="10" t="s">
        <v>374</v>
      </c>
      <c r="M22" s="10" t="s">
        <v>315</v>
      </c>
      <c r="N22" s="10" t="s">
        <v>78</v>
      </c>
      <c r="O22" s="10" t="s">
        <v>78</v>
      </c>
      <c r="P22" s="10" t="s">
        <v>394</v>
      </c>
    </row>
    <row r="23" customFormat="false" ht="45" hidden="false" customHeight="true" outlineLevel="0" collapsed="false">
      <c r="A23" s="11" t="s">
        <v>395</v>
      </c>
      <c r="B23" s="12" t="s">
        <v>396</v>
      </c>
      <c r="C23" s="12" t="s">
        <v>60</v>
      </c>
      <c r="D23" s="12" t="s">
        <v>397</v>
      </c>
      <c r="E23" s="12" t="s">
        <v>289</v>
      </c>
      <c r="F23" s="12" t="s">
        <v>343</v>
      </c>
      <c r="G23" s="12" t="s">
        <v>333</v>
      </c>
      <c r="H23" s="12" t="s">
        <v>310</v>
      </c>
      <c r="I23" s="12" t="s">
        <v>334</v>
      </c>
      <c r="J23" s="12" t="s">
        <v>335</v>
      </c>
      <c r="K23" s="12" t="s">
        <v>336</v>
      </c>
      <c r="L23" s="12" t="s">
        <v>337</v>
      </c>
      <c r="M23" s="12" t="s">
        <v>345</v>
      </c>
      <c r="N23" s="12" t="s">
        <v>97</v>
      </c>
      <c r="O23" s="12" t="s">
        <v>97</v>
      </c>
      <c r="P23" s="12" t="s">
        <v>346</v>
      </c>
    </row>
    <row r="24" customFormat="false" ht="45" hidden="false" customHeight="true" outlineLevel="0" collapsed="false">
      <c r="A24" s="9" t="s">
        <v>398</v>
      </c>
      <c r="B24" s="10" t="s">
        <v>399</v>
      </c>
      <c r="C24" s="10" t="s">
        <v>201</v>
      </c>
      <c r="D24" s="10" t="s">
        <v>400</v>
      </c>
      <c r="E24" s="10" t="s">
        <v>302</v>
      </c>
      <c r="F24" s="10" t="s">
        <v>290</v>
      </c>
      <c r="G24" s="10" t="s">
        <v>291</v>
      </c>
      <c r="H24" s="10" t="s">
        <v>310</v>
      </c>
      <c r="I24" s="10" t="s">
        <v>293</v>
      </c>
      <c r="J24" s="10" t="s">
        <v>294</v>
      </c>
      <c r="K24" s="10" t="s">
        <v>401</v>
      </c>
      <c r="L24" s="10" t="s">
        <v>402</v>
      </c>
      <c r="M24" s="10" t="s">
        <v>297</v>
      </c>
      <c r="N24" s="10" t="s">
        <v>147</v>
      </c>
      <c r="O24" s="10" t="s">
        <v>147</v>
      </c>
      <c r="P24" s="10" t="s">
        <v>298</v>
      </c>
    </row>
    <row r="25" customFormat="false" ht="32.8" hidden="false" customHeight="false" outlineLevel="0" collapsed="false">
      <c r="A25" s="11" t="s">
        <v>403</v>
      </c>
      <c r="B25" s="12" t="s">
        <v>404</v>
      </c>
      <c r="C25" s="12" t="s">
        <v>255</v>
      </c>
      <c r="D25" s="12" t="s">
        <v>281</v>
      </c>
      <c r="E25" s="12" t="s">
        <v>302</v>
      </c>
      <c r="F25" s="12" t="s">
        <v>308</v>
      </c>
      <c r="G25" s="12" t="s">
        <v>309</v>
      </c>
      <c r="H25" s="12" t="s">
        <v>310</v>
      </c>
      <c r="I25" s="12" t="s">
        <v>311</v>
      </c>
      <c r="J25" s="12" t="s">
        <v>312</v>
      </c>
      <c r="K25" s="12" t="s">
        <v>370</v>
      </c>
      <c r="L25" s="12" t="s">
        <v>314</v>
      </c>
      <c r="M25" s="12" t="s">
        <v>363</v>
      </c>
      <c r="N25" s="12" t="s">
        <v>78</v>
      </c>
      <c r="O25" s="12" t="s">
        <v>78</v>
      </c>
      <c r="P25" s="12" t="s">
        <v>346</v>
      </c>
    </row>
    <row r="26" customFormat="false" ht="32.8" hidden="false" customHeight="false" outlineLevel="0" collapsed="false">
      <c r="A26" s="9" t="s">
        <v>405</v>
      </c>
      <c r="B26" s="10" t="s">
        <v>406</v>
      </c>
      <c r="C26" s="10" t="s">
        <v>122</v>
      </c>
      <c r="D26" s="10" t="s">
        <v>407</v>
      </c>
      <c r="E26" s="10" t="s">
        <v>302</v>
      </c>
      <c r="F26" s="10" t="s">
        <v>290</v>
      </c>
      <c r="G26" s="10" t="s">
        <v>291</v>
      </c>
      <c r="H26" s="10" t="s">
        <v>355</v>
      </c>
      <c r="I26" s="10" t="s">
        <v>293</v>
      </c>
      <c r="J26" s="10" t="s">
        <v>294</v>
      </c>
      <c r="K26" s="10" t="s">
        <v>295</v>
      </c>
      <c r="L26" s="10" t="s">
        <v>296</v>
      </c>
      <c r="M26" s="10" t="s">
        <v>297</v>
      </c>
      <c r="N26" s="10" t="s">
        <v>147</v>
      </c>
      <c r="O26" s="10" t="s">
        <v>147</v>
      </c>
      <c r="P26" s="10" t="s">
        <v>328</v>
      </c>
    </row>
    <row r="27" customFormat="false" ht="32.8" hidden="false" customHeight="false" outlineLevel="0" collapsed="false">
      <c r="A27" s="11" t="s">
        <v>408</v>
      </c>
      <c r="B27" s="12" t="s">
        <v>379</v>
      </c>
      <c r="C27" s="12" t="s">
        <v>409</v>
      </c>
      <c r="D27" s="12" t="s">
        <v>263</v>
      </c>
      <c r="E27" s="12" t="s">
        <v>342</v>
      </c>
      <c r="F27" s="12" t="s">
        <v>343</v>
      </c>
      <c r="G27" s="12" t="s">
        <v>333</v>
      </c>
      <c r="H27" s="12" t="s">
        <v>310</v>
      </c>
      <c r="I27" s="12" t="s">
        <v>334</v>
      </c>
      <c r="J27" s="12" t="s">
        <v>335</v>
      </c>
      <c r="K27" s="12" t="s">
        <v>336</v>
      </c>
      <c r="L27" s="12" t="s">
        <v>337</v>
      </c>
      <c r="M27" s="12" t="s">
        <v>345</v>
      </c>
      <c r="N27" s="12" t="s">
        <v>97</v>
      </c>
      <c r="O27" s="12" t="s">
        <v>97</v>
      </c>
      <c r="P27" s="12" t="s">
        <v>346</v>
      </c>
    </row>
    <row r="28" customFormat="false" ht="32.8" hidden="false" customHeight="false" outlineLevel="0" collapsed="false">
      <c r="A28" s="9" t="s">
        <v>410</v>
      </c>
      <c r="B28" s="10" t="s">
        <v>411</v>
      </c>
      <c r="C28" s="10" t="s">
        <v>158</v>
      </c>
      <c r="D28" s="10" t="s">
        <v>341</v>
      </c>
      <c r="E28" s="10" t="s">
        <v>383</v>
      </c>
      <c r="F28" s="10" t="s">
        <v>308</v>
      </c>
      <c r="G28" s="10" t="s">
        <v>309</v>
      </c>
      <c r="H28" s="10" t="s">
        <v>310</v>
      </c>
      <c r="I28" s="10" t="s">
        <v>311</v>
      </c>
      <c r="J28" s="10" t="s">
        <v>312</v>
      </c>
      <c r="K28" s="10" t="s">
        <v>313</v>
      </c>
      <c r="L28" s="10" t="s">
        <v>374</v>
      </c>
      <c r="M28" s="10" t="s">
        <v>315</v>
      </c>
      <c r="N28" s="10" t="s">
        <v>78</v>
      </c>
      <c r="O28" s="10" t="s">
        <v>78</v>
      </c>
      <c r="P28" s="10" t="s">
        <v>328</v>
      </c>
    </row>
    <row r="29" customFormat="false" ht="32.8" hidden="false" customHeight="false" outlineLevel="0" collapsed="false">
      <c r="A29" s="11" t="s">
        <v>412</v>
      </c>
      <c r="B29" s="12" t="s">
        <v>413</v>
      </c>
      <c r="C29" s="12" t="s">
        <v>158</v>
      </c>
      <c r="D29" s="12" t="s">
        <v>393</v>
      </c>
      <c r="E29" s="12" t="s">
        <v>289</v>
      </c>
      <c r="F29" s="12" t="s">
        <v>308</v>
      </c>
      <c r="G29" s="12" t="s">
        <v>309</v>
      </c>
      <c r="H29" s="12" t="s">
        <v>355</v>
      </c>
      <c r="I29" s="12" t="s">
        <v>311</v>
      </c>
      <c r="J29" s="12" t="s">
        <v>312</v>
      </c>
      <c r="K29" s="12" t="s">
        <v>370</v>
      </c>
      <c r="L29" s="12" t="s">
        <v>374</v>
      </c>
      <c r="M29" s="12" t="s">
        <v>363</v>
      </c>
      <c r="N29" s="12" t="s">
        <v>78</v>
      </c>
      <c r="O29" s="12" t="s">
        <v>78</v>
      </c>
      <c r="P29" s="12" t="s">
        <v>328</v>
      </c>
    </row>
    <row r="30" customFormat="false" ht="32.8" hidden="false" customHeight="false" outlineLevel="0" collapsed="false">
      <c r="A30" s="9" t="s">
        <v>414</v>
      </c>
      <c r="B30" s="10" t="s">
        <v>415</v>
      </c>
      <c r="C30" s="10" t="s">
        <v>409</v>
      </c>
      <c r="D30" s="10" t="s">
        <v>416</v>
      </c>
      <c r="E30" s="10" t="s">
        <v>342</v>
      </c>
      <c r="F30" s="10" t="s">
        <v>290</v>
      </c>
      <c r="G30" s="10" t="s">
        <v>291</v>
      </c>
      <c r="H30" s="10" t="s">
        <v>292</v>
      </c>
      <c r="I30" s="10" t="s">
        <v>293</v>
      </c>
      <c r="J30" s="10" t="s">
        <v>294</v>
      </c>
      <c r="K30" s="10" t="s">
        <v>401</v>
      </c>
      <c r="L30" s="10" t="s">
        <v>296</v>
      </c>
      <c r="M30" s="10" t="s">
        <v>297</v>
      </c>
      <c r="N30" s="10" t="s">
        <v>147</v>
      </c>
      <c r="O30" s="10" t="s">
        <v>147</v>
      </c>
      <c r="P30" s="10" t="s">
        <v>346</v>
      </c>
    </row>
    <row r="31" customFormat="false" ht="32.8" hidden="false" customHeight="false" outlineLevel="0" collapsed="false">
      <c r="A31" s="11" t="s">
        <v>417</v>
      </c>
      <c r="B31" s="12" t="s">
        <v>418</v>
      </c>
      <c r="C31" s="12" t="s">
        <v>387</v>
      </c>
      <c r="D31" s="12" t="s">
        <v>419</v>
      </c>
      <c r="E31" s="12" t="s">
        <v>342</v>
      </c>
      <c r="F31" s="12" t="s">
        <v>320</v>
      </c>
      <c r="G31" s="12" t="s">
        <v>321</v>
      </c>
      <c r="H31" s="12" t="s">
        <v>322</v>
      </c>
      <c r="I31" s="12" t="s">
        <v>323</v>
      </c>
      <c r="J31" s="12" t="s">
        <v>324</v>
      </c>
      <c r="K31" s="12" t="s">
        <v>325</v>
      </c>
      <c r="L31" s="12" t="s">
        <v>356</v>
      </c>
      <c r="M31" s="12" t="s">
        <v>327</v>
      </c>
      <c r="N31" s="12" t="s">
        <v>195</v>
      </c>
      <c r="O31" s="12" t="s">
        <v>195</v>
      </c>
      <c r="P31" s="12" t="s">
        <v>394</v>
      </c>
    </row>
    <row r="32" customFormat="false" ht="32.8" hidden="false" customHeight="false" outlineLevel="0" collapsed="false">
      <c r="A32" s="9" t="s">
        <v>420</v>
      </c>
      <c r="B32" s="10" t="s">
        <v>421</v>
      </c>
      <c r="C32" s="10" t="s">
        <v>60</v>
      </c>
      <c r="D32" s="10" t="s">
        <v>231</v>
      </c>
      <c r="E32" s="10" t="s">
        <v>383</v>
      </c>
      <c r="F32" s="10" t="s">
        <v>320</v>
      </c>
      <c r="G32" s="10" t="s">
        <v>321</v>
      </c>
      <c r="H32" s="10" t="s">
        <v>355</v>
      </c>
      <c r="I32" s="10" t="s">
        <v>323</v>
      </c>
      <c r="J32" s="10" t="s">
        <v>324</v>
      </c>
      <c r="K32" s="10" t="s">
        <v>384</v>
      </c>
      <c r="L32" s="10" t="s">
        <v>326</v>
      </c>
      <c r="M32" s="10" t="s">
        <v>327</v>
      </c>
      <c r="N32" s="10" t="s">
        <v>195</v>
      </c>
      <c r="O32" s="10" t="s">
        <v>195</v>
      </c>
      <c r="P32" s="10" t="s">
        <v>346</v>
      </c>
    </row>
    <row r="33" customFormat="false" ht="32.8" hidden="false" customHeight="false" outlineLevel="0" collapsed="false">
      <c r="A33" s="11" t="s">
        <v>422</v>
      </c>
      <c r="B33" s="12" t="s">
        <v>423</v>
      </c>
      <c r="C33" s="12" t="s">
        <v>158</v>
      </c>
      <c r="D33" s="12" t="s">
        <v>424</v>
      </c>
      <c r="E33" s="12" t="s">
        <v>342</v>
      </c>
      <c r="F33" s="12" t="s">
        <v>332</v>
      </c>
      <c r="G33" s="12" t="s">
        <v>333</v>
      </c>
      <c r="H33" s="12" t="s">
        <v>322</v>
      </c>
      <c r="I33" s="12" t="s">
        <v>334</v>
      </c>
      <c r="J33" s="12" t="s">
        <v>335</v>
      </c>
      <c r="K33" s="12" t="s">
        <v>366</v>
      </c>
      <c r="L33" s="12" t="s">
        <v>337</v>
      </c>
      <c r="M33" s="12" t="s">
        <v>345</v>
      </c>
      <c r="N33" s="12" t="s">
        <v>97</v>
      </c>
      <c r="O33" s="12" t="s">
        <v>97</v>
      </c>
      <c r="P33" s="12" t="s">
        <v>394</v>
      </c>
    </row>
  </sheetData>
  <mergeCells count="7">
    <mergeCell ref="A1:M1"/>
    <mergeCell ref="A2:M2"/>
    <mergeCell ref="A3:E3"/>
    <mergeCell ref="F3:H3"/>
    <mergeCell ref="I3:J3"/>
    <mergeCell ref="K3:M3"/>
    <mergeCell ref="N3:P3"/>
  </mergeCells>
  <dataValidations count="3">
    <dataValidation allowBlank="true" errorStyle="stop" operator="between" showDropDown="false" showErrorMessage="false" showInputMessage="false" sqref="E5:E24" type="list">
      <formula1>"Super Luxury,Luxury,Premium,Economy,Value,All Segments"</formula1>
      <formula2>0</formula2>
    </dataValidation>
    <dataValidation allowBlank="true" errorStyle="stop" operator="between" showDropDown="false" showErrorMessage="false" showInputMessage="false" sqref="N5:N24" type="list">
      <formula1>"Asian Paints,Birla Opus,Dulux Paints,JSW Paints,Multiple,None"</formula1>
      <formula2>0</formula2>
    </dataValidation>
    <dataValidation allowBlank="true" errorStyle="stop" operator="between" showDropDown="false" showErrorMessage="false" showInputMessage="false" sqref="O5:O24" type="list">
      <formula1>"Asian Paints,Birla Opus,Dulux Paints,JSW Paints"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G9" activeCellId="0" sqref="G9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10" min="6" style="0" width="30"/>
    <col collapsed="false" customWidth="true" hidden="false" outlineLevel="0" max="12" min="11" style="0" width="20"/>
    <col collapsed="false" customWidth="true" hidden="false" outlineLevel="0" max="13" min="13" style="0" width="35"/>
  </cols>
  <sheetData>
    <row r="1" customFormat="false" ht="27.75" hidden="false" customHeight="true" outlineLevel="0" collapsed="false">
      <c r="A1" s="14" t="s">
        <v>425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9.5" hidden="false" customHeight="true" outlineLevel="0" collapsed="false">
      <c r="A2" s="6" t="s">
        <v>50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9.5" hidden="false" customHeight="true" outlineLevel="0" collapsed="false">
      <c r="A3" s="7" t="s">
        <v>51</v>
      </c>
      <c r="B3" s="7"/>
      <c r="C3" s="7"/>
      <c r="D3" s="7"/>
      <c r="E3" s="7"/>
      <c r="F3" s="7" t="s">
        <v>426</v>
      </c>
      <c r="G3" s="7"/>
      <c r="H3" s="7"/>
      <c r="I3" s="15" t="s">
        <v>427</v>
      </c>
      <c r="J3" s="15" t="s">
        <v>428</v>
      </c>
      <c r="K3" s="8" t="s">
        <v>57</v>
      </c>
      <c r="L3" s="8"/>
      <c r="M3" s="8"/>
    </row>
    <row r="4" customFormat="false" ht="39.75" hidden="false" customHeight="true" outlineLevel="0" collapsed="false">
      <c r="A4" s="9" t="s">
        <v>429</v>
      </c>
      <c r="B4" s="10" t="s">
        <v>430</v>
      </c>
      <c r="C4" s="10" t="s">
        <v>60</v>
      </c>
      <c r="D4" s="10" t="s">
        <v>431</v>
      </c>
      <c r="E4" s="10" t="s">
        <v>432</v>
      </c>
      <c r="F4" s="10" t="s">
        <v>433</v>
      </c>
      <c r="G4" s="10" t="s">
        <v>434</v>
      </c>
      <c r="H4" s="10" t="s">
        <v>435</v>
      </c>
      <c r="I4" s="10" t="s">
        <v>436</v>
      </c>
      <c r="J4" s="10" t="s">
        <v>437</v>
      </c>
      <c r="K4" s="10" t="s">
        <v>147</v>
      </c>
      <c r="L4" s="10" t="s">
        <v>147</v>
      </c>
      <c r="M4" s="10" t="s">
        <v>438</v>
      </c>
    </row>
    <row r="5" customFormat="false" ht="45" hidden="false" customHeight="true" outlineLevel="0" collapsed="false">
      <c r="A5" s="11" t="s">
        <v>439</v>
      </c>
      <c r="B5" s="12" t="s">
        <v>440</v>
      </c>
      <c r="C5" s="12" t="s">
        <v>387</v>
      </c>
      <c r="D5" s="12" t="s">
        <v>441</v>
      </c>
      <c r="E5" s="12" t="s">
        <v>442</v>
      </c>
      <c r="F5" s="12" t="s">
        <v>443</v>
      </c>
      <c r="G5" s="12" t="s">
        <v>444</v>
      </c>
      <c r="H5" s="12" t="s">
        <v>435</v>
      </c>
      <c r="I5" s="12" t="s">
        <v>445</v>
      </c>
      <c r="J5" s="12" t="s">
        <v>446</v>
      </c>
      <c r="K5" s="12" t="s">
        <v>78</v>
      </c>
      <c r="L5" s="12" t="s">
        <v>78</v>
      </c>
      <c r="M5" s="12" t="s">
        <v>447</v>
      </c>
    </row>
    <row r="6" customFormat="false" ht="45" hidden="false" customHeight="true" outlineLevel="0" collapsed="false">
      <c r="A6" s="9" t="s">
        <v>448</v>
      </c>
      <c r="B6" s="10" t="s">
        <v>449</v>
      </c>
      <c r="C6" s="10" t="s">
        <v>183</v>
      </c>
      <c r="D6" s="10" t="s">
        <v>400</v>
      </c>
      <c r="E6" s="10" t="s">
        <v>442</v>
      </c>
      <c r="F6" s="10" t="s">
        <v>450</v>
      </c>
      <c r="G6" s="10" t="s">
        <v>451</v>
      </c>
      <c r="H6" s="10" t="s">
        <v>452</v>
      </c>
      <c r="I6" s="10" t="s">
        <v>453</v>
      </c>
      <c r="J6" s="10" t="s">
        <v>454</v>
      </c>
      <c r="K6" s="10" t="s">
        <v>97</v>
      </c>
      <c r="L6" s="10" t="s">
        <v>97</v>
      </c>
      <c r="M6" s="10" t="s">
        <v>455</v>
      </c>
    </row>
    <row r="7" customFormat="false" ht="45" hidden="false" customHeight="true" outlineLevel="0" collapsed="false">
      <c r="A7" s="11" t="s">
        <v>456</v>
      </c>
      <c r="B7" s="12" t="s">
        <v>457</v>
      </c>
      <c r="C7" s="12" t="s">
        <v>122</v>
      </c>
      <c r="D7" s="12" t="s">
        <v>458</v>
      </c>
      <c r="E7" s="12" t="s">
        <v>459</v>
      </c>
      <c r="F7" s="12" t="s">
        <v>460</v>
      </c>
      <c r="G7" s="12" t="s">
        <v>461</v>
      </c>
      <c r="H7" s="12" t="s">
        <v>435</v>
      </c>
      <c r="I7" s="12" t="s">
        <v>462</v>
      </c>
      <c r="J7" s="12" t="s">
        <v>463</v>
      </c>
      <c r="K7" s="12" t="s">
        <v>195</v>
      </c>
      <c r="L7" s="12" t="s">
        <v>195</v>
      </c>
      <c r="M7" s="12" t="s">
        <v>464</v>
      </c>
    </row>
    <row r="8" customFormat="false" ht="45" hidden="false" customHeight="true" outlineLevel="0" collapsed="false">
      <c r="A8" s="9" t="s">
        <v>465</v>
      </c>
      <c r="B8" s="10" t="s">
        <v>466</v>
      </c>
      <c r="C8" s="10" t="s">
        <v>255</v>
      </c>
      <c r="D8" s="10" t="s">
        <v>467</v>
      </c>
      <c r="E8" s="10" t="s">
        <v>468</v>
      </c>
      <c r="F8" s="10" t="s">
        <v>469</v>
      </c>
      <c r="G8" s="10" t="s">
        <v>451</v>
      </c>
      <c r="H8" s="10" t="s">
        <v>452</v>
      </c>
      <c r="I8" s="10" t="s">
        <v>453</v>
      </c>
      <c r="J8" s="10" t="s">
        <v>454</v>
      </c>
      <c r="K8" s="10" t="s">
        <v>97</v>
      </c>
      <c r="L8" s="10" t="s">
        <v>97</v>
      </c>
      <c r="M8" s="10" t="s">
        <v>470</v>
      </c>
    </row>
    <row r="9" customFormat="false" ht="45" hidden="false" customHeight="true" outlineLevel="0" collapsed="false">
      <c r="A9" s="11" t="s">
        <v>471</v>
      </c>
      <c r="B9" s="12" t="s">
        <v>472</v>
      </c>
      <c r="C9" s="12" t="s">
        <v>183</v>
      </c>
      <c r="D9" s="12" t="s">
        <v>467</v>
      </c>
      <c r="E9" s="12" t="s">
        <v>442</v>
      </c>
      <c r="F9" s="12" t="s">
        <v>473</v>
      </c>
      <c r="G9" s="12" t="s">
        <v>444</v>
      </c>
      <c r="H9" s="12" t="s">
        <v>435</v>
      </c>
      <c r="I9" s="12" t="s">
        <v>445</v>
      </c>
      <c r="J9" s="12" t="s">
        <v>446</v>
      </c>
      <c r="K9" s="12" t="s">
        <v>78</v>
      </c>
      <c r="L9" s="12" t="s">
        <v>78</v>
      </c>
      <c r="M9" s="12" t="s">
        <v>464</v>
      </c>
    </row>
    <row r="10" customFormat="false" ht="45" hidden="false" customHeight="true" outlineLevel="0" collapsed="false">
      <c r="A10" s="9" t="s">
        <v>474</v>
      </c>
      <c r="B10" s="10" t="s">
        <v>475</v>
      </c>
      <c r="C10" s="10" t="s">
        <v>409</v>
      </c>
      <c r="D10" s="10" t="s">
        <v>476</v>
      </c>
      <c r="E10" s="10" t="s">
        <v>459</v>
      </c>
      <c r="F10" s="10" t="s">
        <v>477</v>
      </c>
      <c r="G10" s="10" t="s">
        <v>434</v>
      </c>
      <c r="H10" s="10" t="s">
        <v>435</v>
      </c>
      <c r="I10" s="10" t="s">
        <v>436</v>
      </c>
      <c r="J10" s="10" t="s">
        <v>437</v>
      </c>
      <c r="K10" s="10" t="s">
        <v>147</v>
      </c>
      <c r="L10" s="10" t="s">
        <v>147</v>
      </c>
      <c r="M10" s="10" t="s">
        <v>478</v>
      </c>
    </row>
    <row r="11" customFormat="false" ht="45" hidden="false" customHeight="true" outlineLevel="0" collapsed="false">
      <c r="A11" s="11" t="s">
        <v>479</v>
      </c>
      <c r="B11" s="12" t="s">
        <v>480</v>
      </c>
      <c r="C11" s="12" t="s">
        <v>387</v>
      </c>
      <c r="D11" s="12" t="s">
        <v>407</v>
      </c>
      <c r="E11" s="12" t="s">
        <v>432</v>
      </c>
      <c r="F11" s="12" t="s">
        <v>443</v>
      </c>
      <c r="G11" s="12" t="s">
        <v>444</v>
      </c>
      <c r="H11" s="12" t="s">
        <v>435</v>
      </c>
      <c r="I11" s="12" t="s">
        <v>445</v>
      </c>
      <c r="J11" s="12" t="s">
        <v>446</v>
      </c>
      <c r="K11" s="12" t="s">
        <v>78</v>
      </c>
      <c r="L11" s="12" t="s">
        <v>78</v>
      </c>
      <c r="M11" s="12" t="s">
        <v>478</v>
      </c>
    </row>
    <row r="12" customFormat="false" ht="45" hidden="false" customHeight="true" outlineLevel="0" collapsed="false">
      <c r="A12" s="9" t="s">
        <v>481</v>
      </c>
      <c r="B12" s="10" t="s">
        <v>482</v>
      </c>
      <c r="C12" s="10" t="s">
        <v>183</v>
      </c>
      <c r="D12" s="10" t="s">
        <v>483</v>
      </c>
      <c r="E12" s="10" t="s">
        <v>468</v>
      </c>
      <c r="F12" s="10" t="s">
        <v>443</v>
      </c>
      <c r="G12" s="10" t="s">
        <v>444</v>
      </c>
      <c r="H12" s="10" t="s">
        <v>435</v>
      </c>
      <c r="I12" s="10" t="s">
        <v>445</v>
      </c>
      <c r="J12" s="10" t="s">
        <v>446</v>
      </c>
      <c r="K12" s="10" t="s">
        <v>78</v>
      </c>
      <c r="L12" s="10" t="s">
        <v>78</v>
      </c>
      <c r="M12" s="10" t="s">
        <v>478</v>
      </c>
    </row>
    <row r="13" customFormat="false" ht="45" hidden="false" customHeight="true" outlineLevel="0" collapsed="false">
      <c r="A13" s="11" t="s">
        <v>484</v>
      </c>
      <c r="B13" s="12" t="s">
        <v>485</v>
      </c>
      <c r="C13" s="12" t="s">
        <v>134</v>
      </c>
      <c r="D13" s="12" t="s">
        <v>486</v>
      </c>
      <c r="E13" s="12" t="s">
        <v>468</v>
      </c>
      <c r="F13" s="12" t="s">
        <v>460</v>
      </c>
      <c r="G13" s="12" t="s">
        <v>461</v>
      </c>
      <c r="H13" s="12" t="s">
        <v>435</v>
      </c>
      <c r="I13" s="12" t="s">
        <v>462</v>
      </c>
      <c r="J13" s="12" t="s">
        <v>463</v>
      </c>
      <c r="K13" s="12" t="s">
        <v>195</v>
      </c>
      <c r="L13" s="12" t="s">
        <v>195</v>
      </c>
      <c r="M13" s="12" t="s">
        <v>487</v>
      </c>
    </row>
    <row r="14" customFormat="false" ht="45" hidden="false" customHeight="true" outlineLevel="0" collapsed="false">
      <c r="A14" s="9" t="s">
        <v>488</v>
      </c>
      <c r="B14" s="10" t="s">
        <v>489</v>
      </c>
      <c r="C14" s="10" t="s">
        <v>60</v>
      </c>
      <c r="D14" s="10" t="s">
        <v>275</v>
      </c>
      <c r="E14" s="10" t="s">
        <v>468</v>
      </c>
      <c r="F14" s="10" t="s">
        <v>473</v>
      </c>
      <c r="G14" s="10" t="s">
        <v>444</v>
      </c>
      <c r="H14" s="10" t="s">
        <v>435</v>
      </c>
      <c r="I14" s="10" t="s">
        <v>445</v>
      </c>
      <c r="J14" s="10" t="s">
        <v>446</v>
      </c>
      <c r="K14" s="10" t="s">
        <v>78</v>
      </c>
      <c r="L14" s="10" t="s">
        <v>78</v>
      </c>
      <c r="M14" s="10" t="s">
        <v>490</v>
      </c>
    </row>
    <row r="15" customFormat="false" ht="32.8" hidden="false" customHeight="false" outlineLevel="0" collapsed="false">
      <c r="A15" s="11" t="s">
        <v>491</v>
      </c>
      <c r="B15" s="12" t="s">
        <v>492</v>
      </c>
      <c r="C15" s="12" t="s">
        <v>201</v>
      </c>
      <c r="D15" s="12" t="s">
        <v>493</v>
      </c>
      <c r="E15" s="12" t="s">
        <v>432</v>
      </c>
      <c r="F15" s="12" t="s">
        <v>477</v>
      </c>
      <c r="G15" s="12" t="s">
        <v>434</v>
      </c>
      <c r="H15" s="12" t="s">
        <v>435</v>
      </c>
      <c r="I15" s="12" t="s">
        <v>436</v>
      </c>
      <c r="J15" s="12" t="s">
        <v>437</v>
      </c>
      <c r="K15" s="12" t="s">
        <v>147</v>
      </c>
      <c r="L15" s="12" t="s">
        <v>147</v>
      </c>
      <c r="M15" s="12" t="s">
        <v>438</v>
      </c>
    </row>
    <row r="16" customFormat="false" ht="32.8" hidden="false" customHeight="false" outlineLevel="0" collapsed="false">
      <c r="A16" s="9" t="s">
        <v>494</v>
      </c>
      <c r="B16" s="10" t="s">
        <v>495</v>
      </c>
      <c r="C16" s="10" t="s">
        <v>82</v>
      </c>
      <c r="D16" s="10" t="s">
        <v>496</v>
      </c>
      <c r="E16" s="10" t="s">
        <v>468</v>
      </c>
      <c r="F16" s="10" t="s">
        <v>469</v>
      </c>
      <c r="G16" s="10" t="s">
        <v>451</v>
      </c>
      <c r="H16" s="10" t="s">
        <v>452</v>
      </c>
      <c r="I16" s="10" t="s">
        <v>453</v>
      </c>
      <c r="J16" s="10" t="s">
        <v>454</v>
      </c>
      <c r="K16" s="10" t="s">
        <v>97</v>
      </c>
      <c r="L16" s="10" t="s">
        <v>97</v>
      </c>
      <c r="M16" s="10" t="s">
        <v>497</v>
      </c>
    </row>
    <row r="17" customFormat="false" ht="32.8" hidden="false" customHeight="false" outlineLevel="0" collapsed="false">
      <c r="A17" s="11" t="s">
        <v>498</v>
      </c>
      <c r="B17" s="12" t="s">
        <v>499</v>
      </c>
      <c r="C17" s="12" t="s">
        <v>134</v>
      </c>
      <c r="D17" s="12" t="s">
        <v>61</v>
      </c>
      <c r="E17" s="12" t="s">
        <v>459</v>
      </c>
      <c r="F17" s="12" t="s">
        <v>450</v>
      </c>
      <c r="G17" s="12" t="s">
        <v>451</v>
      </c>
      <c r="H17" s="12" t="s">
        <v>452</v>
      </c>
      <c r="I17" s="12" t="s">
        <v>453</v>
      </c>
      <c r="J17" s="12" t="s">
        <v>454</v>
      </c>
      <c r="K17" s="12" t="s">
        <v>97</v>
      </c>
      <c r="L17" s="12" t="s">
        <v>97</v>
      </c>
      <c r="M17" s="12" t="s">
        <v>464</v>
      </c>
    </row>
    <row r="18" customFormat="false" ht="32.8" hidden="false" customHeight="false" outlineLevel="0" collapsed="false">
      <c r="A18" s="9" t="s">
        <v>500</v>
      </c>
      <c r="B18" s="10" t="s">
        <v>501</v>
      </c>
      <c r="C18" s="10" t="s">
        <v>177</v>
      </c>
      <c r="D18" s="10" t="s">
        <v>178</v>
      </c>
      <c r="E18" s="10" t="s">
        <v>432</v>
      </c>
      <c r="F18" s="10" t="s">
        <v>460</v>
      </c>
      <c r="G18" s="10" t="s">
        <v>461</v>
      </c>
      <c r="H18" s="10" t="s">
        <v>435</v>
      </c>
      <c r="I18" s="10" t="s">
        <v>462</v>
      </c>
      <c r="J18" s="10" t="s">
        <v>463</v>
      </c>
      <c r="K18" s="10" t="s">
        <v>195</v>
      </c>
      <c r="L18" s="10" t="s">
        <v>195</v>
      </c>
      <c r="M18" s="10" t="s">
        <v>497</v>
      </c>
    </row>
  </sheetData>
  <mergeCells count="5">
    <mergeCell ref="A1:J1"/>
    <mergeCell ref="A2:J2"/>
    <mergeCell ref="A3:E3"/>
    <mergeCell ref="F3:H3"/>
    <mergeCell ref="K3:M3"/>
  </mergeCells>
  <dataValidations count="3">
    <dataValidation allowBlank="true" errorStyle="stop" operator="between" showDropDown="false" showErrorMessage="false" showInputMessage="false" sqref="E5:E14" type="list">
      <formula1>"Super Luxury,Luxury,Premium,Economy,Value,All Segments"</formula1>
      <formula2>0</formula2>
    </dataValidation>
    <dataValidation allowBlank="true" errorStyle="stop" operator="between" showDropDown="false" showErrorMessage="false" showInputMessage="false" sqref="K5:K14" type="list">
      <formula1>"Asian Paints,Birla Opus,Dulux Paints,JSW Paints,Multiple,None"</formula1>
      <formula2>0</formula2>
    </dataValidation>
    <dataValidation allowBlank="true" errorStyle="stop" operator="between" showDropDown="false" showErrorMessage="false" showInputMessage="false" sqref="L5:L14" type="list">
      <formula1>"Asian Paints,Birla Opus,Dulux Paints,JSW Paints"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10" min="6" style="0" width="30"/>
    <col collapsed="false" customWidth="true" hidden="false" outlineLevel="0" max="12" min="11" style="0" width="20"/>
    <col collapsed="false" customWidth="true" hidden="false" outlineLevel="0" max="13" min="13" style="0" width="35"/>
  </cols>
  <sheetData>
    <row r="1" customFormat="false" ht="27.75" hidden="false" customHeight="true" outlineLevel="0" collapsed="false">
      <c r="A1" s="16" t="s">
        <v>502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9.5" hidden="false" customHeight="true" outlineLevel="0" collapsed="false">
      <c r="A2" s="6" t="s">
        <v>50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9.5" hidden="false" customHeight="true" outlineLevel="0" collapsed="false">
      <c r="A3" s="7" t="s">
        <v>51</v>
      </c>
      <c r="B3" s="7"/>
      <c r="C3" s="7"/>
      <c r="D3" s="7"/>
      <c r="E3" s="7"/>
      <c r="F3" s="7" t="s">
        <v>503</v>
      </c>
      <c r="G3" s="7"/>
      <c r="H3" s="7"/>
      <c r="I3" s="7"/>
      <c r="J3" s="15" t="s">
        <v>504</v>
      </c>
      <c r="K3" s="8" t="s">
        <v>57</v>
      </c>
      <c r="L3" s="8"/>
      <c r="M3" s="8"/>
    </row>
    <row r="4" customFormat="false" ht="39.75" hidden="false" customHeight="true" outlineLevel="0" collapsed="false">
      <c r="A4" s="9" t="s">
        <v>505</v>
      </c>
      <c r="B4" s="10" t="s">
        <v>506</v>
      </c>
      <c r="C4" s="10" t="s">
        <v>134</v>
      </c>
      <c r="D4" s="10" t="s">
        <v>123</v>
      </c>
      <c r="E4" s="10" t="s">
        <v>507</v>
      </c>
      <c r="F4" s="10" t="s">
        <v>508</v>
      </c>
      <c r="G4" s="10" t="s">
        <v>509</v>
      </c>
      <c r="H4" s="10" t="s">
        <v>510</v>
      </c>
      <c r="I4" s="10" t="s">
        <v>511</v>
      </c>
      <c r="J4" s="10" t="s">
        <v>512</v>
      </c>
      <c r="K4" s="10" t="s">
        <v>78</v>
      </c>
      <c r="L4" s="10" t="s">
        <v>78</v>
      </c>
      <c r="M4" s="10" t="s">
        <v>513</v>
      </c>
    </row>
    <row r="5" customFormat="false" ht="45" hidden="false" customHeight="true" outlineLevel="0" collapsed="false">
      <c r="A5" s="11" t="s">
        <v>514</v>
      </c>
      <c r="B5" s="12" t="s">
        <v>515</v>
      </c>
      <c r="C5" s="12" t="s">
        <v>387</v>
      </c>
      <c r="D5" s="12" t="s">
        <v>424</v>
      </c>
      <c r="E5" s="12" t="s">
        <v>516</v>
      </c>
      <c r="F5" s="12" t="s">
        <v>517</v>
      </c>
      <c r="G5" s="12" t="s">
        <v>518</v>
      </c>
      <c r="H5" s="12" t="s">
        <v>519</v>
      </c>
      <c r="I5" s="12" t="s">
        <v>520</v>
      </c>
      <c r="J5" s="12" t="s">
        <v>521</v>
      </c>
      <c r="K5" s="12" t="s">
        <v>195</v>
      </c>
      <c r="L5" s="12" t="s">
        <v>195</v>
      </c>
      <c r="M5" s="12" t="s">
        <v>522</v>
      </c>
    </row>
    <row r="6" customFormat="false" ht="45" hidden="false" customHeight="true" outlineLevel="0" collapsed="false">
      <c r="A6" s="9" t="s">
        <v>523</v>
      </c>
      <c r="B6" s="10" t="s">
        <v>524</v>
      </c>
      <c r="C6" s="10" t="s">
        <v>255</v>
      </c>
      <c r="D6" s="10" t="s">
        <v>525</v>
      </c>
      <c r="E6" s="10" t="s">
        <v>516</v>
      </c>
      <c r="F6" s="10" t="s">
        <v>517</v>
      </c>
      <c r="G6" s="10" t="s">
        <v>518</v>
      </c>
      <c r="H6" s="10" t="s">
        <v>519</v>
      </c>
      <c r="I6" s="10" t="s">
        <v>520</v>
      </c>
      <c r="J6" s="10" t="s">
        <v>521</v>
      </c>
      <c r="K6" s="10" t="s">
        <v>195</v>
      </c>
      <c r="L6" s="10" t="s">
        <v>195</v>
      </c>
      <c r="M6" s="10" t="s">
        <v>526</v>
      </c>
    </row>
    <row r="7" customFormat="false" ht="45" hidden="false" customHeight="true" outlineLevel="0" collapsed="false">
      <c r="A7" s="11" t="s">
        <v>527</v>
      </c>
      <c r="B7" s="12" t="s">
        <v>499</v>
      </c>
      <c r="C7" s="12" t="s">
        <v>387</v>
      </c>
      <c r="D7" s="12" t="s">
        <v>123</v>
      </c>
      <c r="E7" s="12" t="s">
        <v>528</v>
      </c>
      <c r="F7" s="12" t="s">
        <v>529</v>
      </c>
      <c r="G7" s="12" t="s">
        <v>530</v>
      </c>
      <c r="H7" s="12" t="s">
        <v>510</v>
      </c>
      <c r="I7" s="12" t="s">
        <v>511</v>
      </c>
      <c r="J7" s="12" t="s">
        <v>512</v>
      </c>
      <c r="K7" s="12" t="s">
        <v>78</v>
      </c>
      <c r="L7" s="12" t="s">
        <v>78</v>
      </c>
      <c r="M7" s="12" t="s">
        <v>531</v>
      </c>
    </row>
    <row r="8" customFormat="false" ht="45" hidden="false" customHeight="true" outlineLevel="0" collapsed="false">
      <c r="A8" s="9" t="s">
        <v>532</v>
      </c>
      <c r="B8" s="10" t="s">
        <v>533</v>
      </c>
      <c r="C8" s="10" t="s">
        <v>177</v>
      </c>
      <c r="D8" s="10" t="s">
        <v>263</v>
      </c>
      <c r="E8" s="10" t="s">
        <v>534</v>
      </c>
      <c r="F8" s="10" t="s">
        <v>535</v>
      </c>
      <c r="G8" s="10" t="s">
        <v>536</v>
      </c>
      <c r="H8" s="10" t="s">
        <v>537</v>
      </c>
      <c r="I8" s="10" t="s">
        <v>520</v>
      </c>
      <c r="J8" s="10" t="s">
        <v>538</v>
      </c>
      <c r="K8" s="10" t="s">
        <v>97</v>
      </c>
      <c r="L8" s="10" t="s">
        <v>97</v>
      </c>
      <c r="M8" s="10" t="s">
        <v>539</v>
      </c>
    </row>
    <row r="9" customFormat="false" ht="45" hidden="false" customHeight="true" outlineLevel="0" collapsed="false">
      <c r="A9" s="11" t="s">
        <v>540</v>
      </c>
      <c r="B9" s="12" t="s">
        <v>541</v>
      </c>
      <c r="C9" s="12" t="s">
        <v>60</v>
      </c>
      <c r="D9" s="12" t="s">
        <v>184</v>
      </c>
      <c r="E9" s="12" t="s">
        <v>516</v>
      </c>
      <c r="F9" s="12" t="s">
        <v>517</v>
      </c>
      <c r="G9" s="12" t="s">
        <v>518</v>
      </c>
      <c r="H9" s="12" t="s">
        <v>542</v>
      </c>
      <c r="I9" s="12" t="s">
        <v>520</v>
      </c>
      <c r="J9" s="12" t="s">
        <v>543</v>
      </c>
      <c r="K9" s="12" t="s">
        <v>195</v>
      </c>
      <c r="L9" s="12" t="s">
        <v>195</v>
      </c>
      <c r="M9" s="12" t="s">
        <v>526</v>
      </c>
    </row>
    <row r="10" customFormat="false" ht="45" hidden="false" customHeight="true" outlineLevel="0" collapsed="false">
      <c r="A10" s="9" t="s">
        <v>544</v>
      </c>
      <c r="B10" s="10" t="s">
        <v>545</v>
      </c>
      <c r="C10" s="10" t="s">
        <v>183</v>
      </c>
      <c r="D10" s="10" t="s">
        <v>546</v>
      </c>
      <c r="E10" s="10" t="s">
        <v>528</v>
      </c>
      <c r="F10" s="10" t="s">
        <v>547</v>
      </c>
      <c r="G10" s="10" t="s">
        <v>548</v>
      </c>
      <c r="H10" s="10" t="s">
        <v>549</v>
      </c>
      <c r="I10" s="10" t="s">
        <v>520</v>
      </c>
      <c r="J10" s="10" t="s">
        <v>550</v>
      </c>
      <c r="K10" s="10" t="s">
        <v>147</v>
      </c>
      <c r="L10" s="10" t="s">
        <v>147</v>
      </c>
      <c r="M10" s="10" t="s">
        <v>531</v>
      </c>
    </row>
    <row r="11" customFormat="false" ht="45" hidden="false" customHeight="true" outlineLevel="0" collapsed="false">
      <c r="A11" s="11" t="s">
        <v>551</v>
      </c>
      <c r="B11" s="12" t="s">
        <v>552</v>
      </c>
      <c r="C11" s="12" t="s">
        <v>158</v>
      </c>
      <c r="D11" s="12" t="s">
        <v>377</v>
      </c>
      <c r="E11" s="12" t="s">
        <v>534</v>
      </c>
      <c r="F11" s="12" t="s">
        <v>517</v>
      </c>
      <c r="G11" s="12" t="s">
        <v>518</v>
      </c>
      <c r="H11" s="12" t="s">
        <v>542</v>
      </c>
      <c r="I11" s="12" t="s">
        <v>520</v>
      </c>
      <c r="J11" s="12" t="s">
        <v>543</v>
      </c>
      <c r="K11" s="12" t="s">
        <v>195</v>
      </c>
      <c r="L11" s="12" t="s">
        <v>195</v>
      </c>
      <c r="M11" s="12" t="s">
        <v>553</v>
      </c>
    </row>
    <row r="12" customFormat="false" ht="45" hidden="false" customHeight="true" outlineLevel="0" collapsed="false">
      <c r="A12" s="9" t="s">
        <v>554</v>
      </c>
      <c r="B12" s="10" t="s">
        <v>555</v>
      </c>
      <c r="C12" s="10" t="s">
        <v>82</v>
      </c>
      <c r="D12" s="10" t="s">
        <v>476</v>
      </c>
      <c r="E12" s="10" t="s">
        <v>556</v>
      </c>
      <c r="F12" s="10" t="s">
        <v>557</v>
      </c>
      <c r="G12" s="10" t="s">
        <v>509</v>
      </c>
      <c r="H12" s="10" t="s">
        <v>558</v>
      </c>
      <c r="I12" s="10" t="s">
        <v>511</v>
      </c>
      <c r="J12" s="10" t="s">
        <v>512</v>
      </c>
      <c r="K12" s="10" t="s">
        <v>78</v>
      </c>
      <c r="L12" s="10" t="s">
        <v>78</v>
      </c>
      <c r="M12" s="10" t="s">
        <v>559</v>
      </c>
    </row>
    <row r="13" customFormat="false" ht="45" hidden="false" customHeight="true" outlineLevel="0" collapsed="false">
      <c r="A13" s="11" t="s">
        <v>560</v>
      </c>
      <c r="B13" s="12" t="s">
        <v>561</v>
      </c>
      <c r="C13" s="12" t="s">
        <v>177</v>
      </c>
      <c r="D13" s="12" t="s">
        <v>393</v>
      </c>
      <c r="E13" s="12" t="s">
        <v>528</v>
      </c>
      <c r="F13" s="12" t="s">
        <v>562</v>
      </c>
      <c r="G13" s="12" t="s">
        <v>536</v>
      </c>
      <c r="H13" s="12" t="s">
        <v>563</v>
      </c>
      <c r="I13" s="12" t="s">
        <v>520</v>
      </c>
      <c r="J13" s="12" t="s">
        <v>538</v>
      </c>
      <c r="K13" s="12" t="s">
        <v>97</v>
      </c>
      <c r="L13" s="12" t="s">
        <v>97</v>
      </c>
      <c r="M13" s="12" t="s">
        <v>564</v>
      </c>
    </row>
    <row r="14" customFormat="false" ht="45" hidden="false" customHeight="true" outlineLevel="0" collapsed="false">
      <c r="A14" s="9" t="s">
        <v>565</v>
      </c>
      <c r="B14" s="10" t="s">
        <v>566</v>
      </c>
      <c r="C14" s="10" t="s">
        <v>122</v>
      </c>
      <c r="D14" s="10" t="s">
        <v>567</v>
      </c>
      <c r="E14" s="10" t="s">
        <v>556</v>
      </c>
      <c r="F14" s="10" t="s">
        <v>535</v>
      </c>
      <c r="G14" s="10" t="s">
        <v>536</v>
      </c>
      <c r="H14" s="10" t="s">
        <v>537</v>
      </c>
      <c r="I14" s="10" t="s">
        <v>520</v>
      </c>
      <c r="J14" s="10" t="s">
        <v>568</v>
      </c>
      <c r="K14" s="10" t="s">
        <v>97</v>
      </c>
      <c r="L14" s="10" t="s">
        <v>97</v>
      </c>
      <c r="M14" s="10" t="s">
        <v>559</v>
      </c>
    </row>
    <row r="15" customFormat="false" ht="45" hidden="false" customHeight="true" outlineLevel="0" collapsed="false">
      <c r="A15" s="11" t="s">
        <v>569</v>
      </c>
      <c r="B15" s="12" t="s">
        <v>570</v>
      </c>
      <c r="C15" s="12" t="s">
        <v>134</v>
      </c>
      <c r="D15" s="12" t="s">
        <v>354</v>
      </c>
      <c r="E15" s="12" t="s">
        <v>507</v>
      </c>
      <c r="F15" s="12" t="s">
        <v>557</v>
      </c>
      <c r="G15" s="12" t="s">
        <v>509</v>
      </c>
      <c r="H15" s="12" t="s">
        <v>558</v>
      </c>
      <c r="I15" s="12" t="s">
        <v>511</v>
      </c>
      <c r="J15" s="12" t="s">
        <v>571</v>
      </c>
      <c r="K15" s="12" t="s">
        <v>78</v>
      </c>
      <c r="L15" s="12" t="s">
        <v>78</v>
      </c>
      <c r="M15" s="12" t="s">
        <v>513</v>
      </c>
    </row>
    <row r="16" customFormat="false" ht="45" hidden="false" customHeight="true" outlineLevel="0" collapsed="false">
      <c r="A16" s="9" t="s">
        <v>572</v>
      </c>
      <c r="B16" s="10" t="s">
        <v>573</v>
      </c>
      <c r="C16" s="10" t="s">
        <v>158</v>
      </c>
      <c r="D16" s="10" t="s">
        <v>213</v>
      </c>
      <c r="E16" s="10" t="s">
        <v>528</v>
      </c>
      <c r="F16" s="10" t="s">
        <v>529</v>
      </c>
      <c r="G16" s="10" t="s">
        <v>530</v>
      </c>
      <c r="H16" s="10" t="s">
        <v>574</v>
      </c>
      <c r="I16" s="10" t="s">
        <v>511</v>
      </c>
      <c r="J16" s="10" t="s">
        <v>571</v>
      </c>
      <c r="K16" s="10" t="s">
        <v>78</v>
      </c>
      <c r="L16" s="10" t="s">
        <v>78</v>
      </c>
      <c r="M16" s="10" t="s">
        <v>531</v>
      </c>
    </row>
    <row r="17" customFormat="false" ht="45" hidden="false" customHeight="true" outlineLevel="0" collapsed="false">
      <c r="A17" s="11" t="s">
        <v>575</v>
      </c>
      <c r="B17" s="12" t="s">
        <v>576</v>
      </c>
      <c r="C17" s="12" t="s">
        <v>158</v>
      </c>
      <c r="D17" s="12" t="s">
        <v>419</v>
      </c>
      <c r="E17" s="12" t="s">
        <v>528</v>
      </c>
      <c r="F17" s="12" t="s">
        <v>517</v>
      </c>
      <c r="G17" s="12" t="s">
        <v>518</v>
      </c>
      <c r="H17" s="12" t="s">
        <v>542</v>
      </c>
      <c r="I17" s="12" t="s">
        <v>520</v>
      </c>
      <c r="J17" s="12" t="s">
        <v>543</v>
      </c>
      <c r="K17" s="12" t="s">
        <v>195</v>
      </c>
      <c r="L17" s="12" t="s">
        <v>195</v>
      </c>
      <c r="M17" s="12" t="s">
        <v>564</v>
      </c>
    </row>
    <row r="18" customFormat="false" ht="45" hidden="false" customHeight="true" outlineLevel="0" collapsed="false">
      <c r="A18" s="9" t="s">
        <v>577</v>
      </c>
      <c r="B18" s="10" t="s">
        <v>578</v>
      </c>
      <c r="C18" s="10" t="s">
        <v>122</v>
      </c>
      <c r="D18" s="10" t="s">
        <v>476</v>
      </c>
      <c r="E18" s="10" t="s">
        <v>579</v>
      </c>
      <c r="F18" s="10" t="s">
        <v>529</v>
      </c>
      <c r="G18" s="10" t="s">
        <v>509</v>
      </c>
      <c r="H18" s="10" t="s">
        <v>574</v>
      </c>
      <c r="I18" s="10" t="s">
        <v>511</v>
      </c>
      <c r="J18" s="10" t="s">
        <v>512</v>
      </c>
      <c r="K18" s="10" t="s">
        <v>78</v>
      </c>
      <c r="L18" s="10" t="s">
        <v>78</v>
      </c>
      <c r="M18" s="10" t="s">
        <v>580</v>
      </c>
    </row>
    <row r="19" customFormat="false" ht="45" hidden="false" customHeight="true" outlineLevel="0" collapsed="false">
      <c r="A19" s="11" t="s">
        <v>581</v>
      </c>
      <c r="B19" s="12" t="s">
        <v>582</v>
      </c>
      <c r="C19" s="12" t="s">
        <v>122</v>
      </c>
      <c r="D19" s="12" t="s">
        <v>419</v>
      </c>
      <c r="E19" s="12" t="s">
        <v>556</v>
      </c>
      <c r="F19" s="12" t="s">
        <v>517</v>
      </c>
      <c r="G19" s="12" t="s">
        <v>518</v>
      </c>
      <c r="H19" s="12" t="s">
        <v>519</v>
      </c>
      <c r="I19" s="12" t="s">
        <v>520</v>
      </c>
      <c r="J19" s="12" t="s">
        <v>521</v>
      </c>
      <c r="K19" s="12" t="s">
        <v>195</v>
      </c>
      <c r="L19" s="12" t="s">
        <v>195</v>
      </c>
      <c r="M19" s="12" t="s">
        <v>559</v>
      </c>
    </row>
    <row r="20" customFormat="false" ht="45" hidden="false" customHeight="true" outlineLevel="0" collapsed="false">
      <c r="A20" s="9" t="s">
        <v>583</v>
      </c>
      <c r="B20" s="10" t="s">
        <v>584</v>
      </c>
      <c r="C20" s="10" t="s">
        <v>134</v>
      </c>
      <c r="D20" s="10" t="s">
        <v>275</v>
      </c>
      <c r="E20" s="10" t="s">
        <v>534</v>
      </c>
      <c r="F20" s="10" t="s">
        <v>585</v>
      </c>
      <c r="G20" s="10" t="s">
        <v>548</v>
      </c>
      <c r="H20" s="10" t="s">
        <v>586</v>
      </c>
      <c r="I20" s="10" t="s">
        <v>520</v>
      </c>
      <c r="J20" s="10" t="s">
        <v>587</v>
      </c>
      <c r="K20" s="10" t="s">
        <v>147</v>
      </c>
      <c r="L20" s="10" t="s">
        <v>147</v>
      </c>
      <c r="M20" s="10" t="s">
        <v>539</v>
      </c>
    </row>
    <row r="21" customFormat="false" ht="45" hidden="false" customHeight="true" outlineLevel="0" collapsed="false">
      <c r="A21" s="11" t="s">
        <v>588</v>
      </c>
      <c r="B21" s="12" t="s">
        <v>589</v>
      </c>
      <c r="C21" s="12" t="s">
        <v>151</v>
      </c>
      <c r="D21" s="12" t="s">
        <v>567</v>
      </c>
      <c r="E21" s="12" t="s">
        <v>556</v>
      </c>
      <c r="F21" s="12" t="s">
        <v>557</v>
      </c>
      <c r="G21" s="12" t="s">
        <v>509</v>
      </c>
      <c r="H21" s="12" t="s">
        <v>574</v>
      </c>
      <c r="I21" s="12" t="s">
        <v>511</v>
      </c>
      <c r="J21" s="12" t="s">
        <v>512</v>
      </c>
      <c r="K21" s="12" t="s">
        <v>78</v>
      </c>
      <c r="L21" s="12" t="s">
        <v>78</v>
      </c>
      <c r="M21" s="12" t="s">
        <v>559</v>
      </c>
    </row>
    <row r="22" customFormat="false" ht="45" hidden="false" customHeight="true" outlineLevel="0" collapsed="false">
      <c r="A22" s="9" t="s">
        <v>590</v>
      </c>
      <c r="B22" s="10" t="s">
        <v>239</v>
      </c>
      <c r="C22" s="10" t="s">
        <v>151</v>
      </c>
      <c r="D22" s="10" t="s">
        <v>301</v>
      </c>
      <c r="E22" s="10" t="s">
        <v>534</v>
      </c>
      <c r="F22" s="10" t="s">
        <v>585</v>
      </c>
      <c r="G22" s="10" t="s">
        <v>548</v>
      </c>
      <c r="H22" s="10" t="s">
        <v>591</v>
      </c>
      <c r="I22" s="10" t="s">
        <v>520</v>
      </c>
      <c r="J22" s="10" t="s">
        <v>587</v>
      </c>
      <c r="K22" s="10" t="s">
        <v>147</v>
      </c>
      <c r="L22" s="10" t="s">
        <v>147</v>
      </c>
      <c r="M22" s="10" t="s">
        <v>539</v>
      </c>
    </row>
    <row r="23" customFormat="false" ht="45" hidden="false" customHeight="true" outlineLevel="0" collapsed="false">
      <c r="A23" s="11" t="s">
        <v>592</v>
      </c>
      <c r="B23" s="12" t="s">
        <v>593</v>
      </c>
      <c r="C23" s="12" t="s">
        <v>183</v>
      </c>
      <c r="D23" s="12" t="s">
        <v>235</v>
      </c>
      <c r="E23" s="12" t="s">
        <v>556</v>
      </c>
      <c r="F23" s="12" t="s">
        <v>547</v>
      </c>
      <c r="G23" s="12" t="s">
        <v>594</v>
      </c>
      <c r="H23" s="12" t="s">
        <v>549</v>
      </c>
      <c r="I23" s="12" t="s">
        <v>520</v>
      </c>
      <c r="J23" s="12" t="s">
        <v>550</v>
      </c>
      <c r="K23" s="12" t="s">
        <v>147</v>
      </c>
      <c r="L23" s="12" t="s">
        <v>147</v>
      </c>
      <c r="M23" s="12" t="s">
        <v>559</v>
      </c>
    </row>
    <row r="24" customFormat="false" ht="45" hidden="false" customHeight="true" outlineLevel="0" collapsed="false">
      <c r="A24" s="9" t="s">
        <v>595</v>
      </c>
      <c r="B24" s="10" t="s">
        <v>596</v>
      </c>
      <c r="C24" s="10" t="s">
        <v>122</v>
      </c>
      <c r="D24" s="10" t="s">
        <v>597</v>
      </c>
      <c r="E24" s="10" t="s">
        <v>556</v>
      </c>
      <c r="F24" s="10" t="s">
        <v>562</v>
      </c>
      <c r="G24" s="10" t="s">
        <v>536</v>
      </c>
      <c r="H24" s="10" t="s">
        <v>537</v>
      </c>
      <c r="I24" s="10" t="s">
        <v>520</v>
      </c>
      <c r="J24" s="10" t="s">
        <v>568</v>
      </c>
      <c r="K24" s="10" t="s">
        <v>97</v>
      </c>
      <c r="L24" s="10" t="s">
        <v>97</v>
      </c>
      <c r="M24" s="10" t="s">
        <v>559</v>
      </c>
    </row>
    <row r="25" customFormat="false" ht="45" hidden="false" customHeight="true" outlineLevel="0" collapsed="false">
      <c r="A25" s="11" t="s">
        <v>598</v>
      </c>
      <c r="B25" s="12" t="s">
        <v>599</v>
      </c>
      <c r="C25" s="12" t="s">
        <v>183</v>
      </c>
      <c r="D25" s="12" t="s">
        <v>341</v>
      </c>
      <c r="E25" s="12" t="s">
        <v>516</v>
      </c>
      <c r="F25" s="12" t="s">
        <v>529</v>
      </c>
      <c r="G25" s="12" t="s">
        <v>509</v>
      </c>
      <c r="H25" s="12" t="s">
        <v>574</v>
      </c>
      <c r="I25" s="12" t="s">
        <v>511</v>
      </c>
      <c r="J25" s="12" t="s">
        <v>571</v>
      </c>
      <c r="K25" s="12" t="s">
        <v>78</v>
      </c>
      <c r="L25" s="12" t="s">
        <v>78</v>
      </c>
      <c r="M25" s="12" t="s">
        <v>526</v>
      </c>
    </row>
    <row r="26" customFormat="false" ht="45" hidden="false" customHeight="true" outlineLevel="0" collapsed="false">
      <c r="A26" s="9" t="s">
        <v>600</v>
      </c>
      <c r="B26" s="10" t="s">
        <v>601</v>
      </c>
      <c r="C26" s="10" t="s">
        <v>255</v>
      </c>
      <c r="D26" s="10" t="s">
        <v>602</v>
      </c>
      <c r="E26" s="10" t="s">
        <v>579</v>
      </c>
      <c r="F26" s="10" t="s">
        <v>585</v>
      </c>
      <c r="G26" s="10" t="s">
        <v>548</v>
      </c>
      <c r="H26" s="10" t="s">
        <v>591</v>
      </c>
      <c r="I26" s="10" t="s">
        <v>520</v>
      </c>
      <c r="J26" s="10" t="s">
        <v>550</v>
      </c>
      <c r="K26" s="10" t="s">
        <v>147</v>
      </c>
      <c r="L26" s="10" t="s">
        <v>147</v>
      </c>
      <c r="M26" s="10" t="s">
        <v>603</v>
      </c>
    </row>
    <row r="27" customFormat="false" ht="45" hidden="false" customHeight="true" outlineLevel="0" collapsed="false">
      <c r="A27" s="11" t="s">
        <v>604</v>
      </c>
      <c r="B27" s="12" t="s">
        <v>605</v>
      </c>
      <c r="C27" s="12" t="s">
        <v>387</v>
      </c>
      <c r="D27" s="12" t="s">
        <v>606</v>
      </c>
      <c r="E27" s="12" t="s">
        <v>607</v>
      </c>
      <c r="F27" s="12" t="s">
        <v>585</v>
      </c>
      <c r="G27" s="12" t="s">
        <v>548</v>
      </c>
      <c r="H27" s="12" t="s">
        <v>586</v>
      </c>
      <c r="I27" s="12" t="s">
        <v>520</v>
      </c>
      <c r="J27" s="12" t="s">
        <v>550</v>
      </c>
      <c r="K27" s="12" t="s">
        <v>147</v>
      </c>
      <c r="L27" s="12" t="s">
        <v>147</v>
      </c>
      <c r="M27" s="12" t="s">
        <v>608</v>
      </c>
    </row>
    <row r="28" customFormat="false" ht="45" hidden="false" customHeight="true" outlineLevel="0" collapsed="false">
      <c r="A28" s="9" t="s">
        <v>609</v>
      </c>
      <c r="B28" s="10" t="s">
        <v>610</v>
      </c>
      <c r="C28" s="10" t="s">
        <v>158</v>
      </c>
      <c r="D28" s="10" t="s">
        <v>111</v>
      </c>
      <c r="E28" s="10" t="s">
        <v>607</v>
      </c>
      <c r="F28" s="10" t="s">
        <v>547</v>
      </c>
      <c r="G28" s="10" t="s">
        <v>548</v>
      </c>
      <c r="H28" s="10" t="s">
        <v>549</v>
      </c>
      <c r="I28" s="10" t="s">
        <v>520</v>
      </c>
      <c r="J28" s="10" t="s">
        <v>587</v>
      </c>
      <c r="K28" s="10" t="s">
        <v>147</v>
      </c>
      <c r="L28" s="10" t="s">
        <v>147</v>
      </c>
      <c r="M28" s="10" t="s">
        <v>608</v>
      </c>
    </row>
    <row r="29" customFormat="false" ht="45" hidden="false" customHeight="true" outlineLevel="0" collapsed="false">
      <c r="A29" s="11" t="s">
        <v>611</v>
      </c>
      <c r="B29" s="12" t="s">
        <v>612</v>
      </c>
      <c r="C29" s="12" t="s">
        <v>134</v>
      </c>
      <c r="D29" s="12" t="s">
        <v>613</v>
      </c>
      <c r="E29" s="12" t="s">
        <v>607</v>
      </c>
      <c r="F29" s="12" t="s">
        <v>585</v>
      </c>
      <c r="G29" s="12" t="s">
        <v>614</v>
      </c>
      <c r="H29" s="12" t="s">
        <v>591</v>
      </c>
      <c r="I29" s="12" t="s">
        <v>520</v>
      </c>
      <c r="J29" s="12" t="s">
        <v>587</v>
      </c>
      <c r="K29" s="12" t="s">
        <v>147</v>
      </c>
      <c r="L29" s="12" t="s">
        <v>147</v>
      </c>
      <c r="M29" s="12" t="s">
        <v>608</v>
      </c>
    </row>
    <row r="30" customFormat="false" ht="45" hidden="false" customHeight="true" outlineLevel="0" collapsed="false">
      <c r="A30" s="9" t="s">
        <v>615</v>
      </c>
      <c r="B30" s="10" t="s">
        <v>616</v>
      </c>
      <c r="C30" s="10" t="s">
        <v>60</v>
      </c>
      <c r="D30" s="10" t="s">
        <v>617</v>
      </c>
      <c r="E30" s="10" t="s">
        <v>516</v>
      </c>
      <c r="F30" s="10" t="s">
        <v>535</v>
      </c>
      <c r="G30" s="10" t="s">
        <v>536</v>
      </c>
      <c r="H30" s="10" t="s">
        <v>563</v>
      </c>
      <c r="I30" s="10" t="s">
        <v>520</v>
      </c>
      <c r="J30" s="10" t="s">
        <v>568</v>
      </c>
      <c r="K30" s="10" t="s">
        <v>97</v>
      </c>
      <c r="L30" s="10" t="s">
        <v>97</v>
      </c>
      <c r="M30" s="10" t="s">
        <v>522</v>
      </c>
    </row>
    <row r="31" customFormat="false" ht="45" hidden="false" customHeight="true" outlineLevel="0" collapsed="false">
      <c r="A31" s="11" t="s">
        <v>618</v>
      </c>
      <c r="B31" s="12" t="s">
        <v>619</v>
      </c>
      <c r="C31" s="12" t="s">
        <v>387</v>
      </c>
      <c r="D31" s="12" t="s">
        <v>620</v>
      </c>
      <c r="E31" s="12" t="s">
        <v>507</v>
      </c>
      <c r="F31" s="12" t="s">
        <v>529</v>
      </c>
      <c r="G31" s="12" t="s">
        <v>530</v>
      </c>
      <c r="H31" s="12" t="s">
        <v>510</v>
      </c>
      <c r="I31" s="12" t="s">
        <v>511</v>
      </c>
      <c r="J31" s="12" t="s">
        <v>512</v>
      </c>
      <c r="K31" s="12" t="s">
        <v>78</v>
      </c>
      <c r="L31" s="12" t="s">
        <v>78</v>
      </c>
      <c r="M31" s="12" t="s">
        <v>513</v>
      </c>
    </row>
    <row r="32" customFormat="false" ht="45" hidden="false" customHeight="true" outlineLevel="0" collapsed="false">
      <c r="A32" s="9" t="s">
        <v>621</v>
      </c>
      <c r="B32" s="10" t="s">
        <v>157</v>
      </c>
      <c r="C32" s="10" t="s">
        <v>60</v>
      </c>
      <c r="D32" s="10" t="s">
        <v>606</v>
      </c>
      <c r="E32" s="10" t="s">
        <v>528</v>
      </c>
      <c r="F32" s="10" t="s">
        <v>508</v>
      </c>
      <c r="G32" s="10" t="s">
        <v>509</v>
      </c>
      <c r="H32" s="10" t="s">
        <v>558</v>
      </c>
      <c r="I32" s="10" t="s">
        <v>511</v>
      </c>
      <c r="J32" s="10" t="s">
        <v>571</v>
      </c>
      <c r="K32" s="10" t="s">
        <v>78</v>
      </c>
      <c r="L32" s="10" t="s">
        <v>78</v>
      </c>
      <c r="M32" s="10" t="s">
        <v>531</v>
      </c>
    </row>
    <row r="33" customFormat="false" ht="45" hidden="false" customHeight="true" outlineLevel="0" collapsed="false">
      <c r="A33" s="11" t="s">
        <v>622</v>
      </c>
      <c r="B33" s="12" t="s">
        <v>623</v>
      </c>
      <c r="C33" s="12" t="s">
        <v>158</v>
      </c>
      <c r="D33" s="12" t="s">
        <v>202</v>
      </c>
      <c r="E33" s="12" t="s">
        <v>556</v>
      </c>
      <c r="F33" s="12" t="s">
        <v>529</v>
      </c>
      <c r="G33" s="12" t="s">
        <v>530</v>
      </c>
      <c r="H33" s="12" t="s">
        <v>510</v>
      </c>
      <c r="I33" s="12" t="s">
        <v>511</v>
      </c>
      <c r="J33" s="12" t="s">
        <v>512</v>
      </c>
      <c r="K33" s="12" t="s">
        <v>78</v>
      </c>
      <c r="L33" s="12" t="s">
        <v>78</v>
      </c>
      <c r="M33" s="12" t="s">
        <v>559</v>
      </c>
    </row>
    <row r="34" customFormat="false" ht="45" hidden="false" customHeight="true" outlineLevel="0" collapsed="false">
      <c r="A34" s="9" t="s">
        <v>624</v>
      </c>
      <c r="B34" s="10" t="s">
        <v>625</v>
      </c>
      <c r="C34" s="10" t="s">
        <v>177</v>
      </c>
      <c r="D34" s="10" t="s">
        <v>361</v>
      </c>
      <c r="E34" s="10" t="s">
        <v>579</v>
      </c>
      <c r="F34" s="10" t="s">
        <v>562</v>
      </c>
      <c r="G34" s="10" t="s">
        <v>536</v>
      </c>
      <c r="H34" s="10" t="s">
        <v>537</v>
      </c>
      <c r="I34" s="10" t="s">
        <v>520</v>
      </c>
      <c r="J34" s="10" t="s">
        <v>538</v>
      </c>
      <c r="K34" s="10" t="s">
        <v>97</v>
      </c>
      <c r="L34" s="10" t="s">
        <v>97</v>
      </c>
      <c r="M34" s="10" t="s">
        <v>580</v>
      </c>
    </row>
    <row r="35" customFormat="false" ht="32.8" hidden="false" customHeight="false" outlineLevel="0" collapsed="false">
      <c r="A35" s="11" t="s">
        <v>626</v>
      </c>
      <c r="B35" s="12" t="s">
        <v>121</v>
      </c>
      <c r="C35" s="12" t="s">
        <v>82</v>
      </c>
      <c r="D35" s="12" t="s">
        <v>319</v>
      </c>
      <c r="E35" s="12" t="s">
        <v>528</v>
      </c>
      <c r="F35" s="12" t="s">
        <v>585</v>
      </c>
      <c r="G35" s="12" t="s">
        <v>614</v>
      </c>
      <c r="H35" s="12" t="s">
        <v>591</v>
      </c>
      <c r="I35" s="12" t="s">
        <v>520</v>
      </c>
      <c r="J35" s="12" t="s">
        <v>587</v>
      </c>
      <c r="K35" s="12" t="s">
        <v>147</v>
      </c>
      <c r="L35" s="12" t="s">
        <v>147</v>
      </c>
      <c r="M35" s="12" t="s">
        <v>564</v>
      </c>
    </row>
    <row r="36" customFormat="false" ht="32.8" hidden="false" customHeight="false" outlineLevel="0" collapsed="false">
      <c r="A36" s="9" t="s">
        <v>627</v>
      </c>
      <c r="B36" s="10" t="s">
        <v>628</v>
      </c>
      <c r="C36" s="10" t="s">
        <v>183</v>
      </c>
      <c r="D36" s="10" t="s">
        <v>361</v>
      </c>
      <c r="E36" s="10" t="s">
        <v>556</v>
      </c>
      <c r="F36" s="10" t="s">
        <v>529</v>
      </c>
      <c r="G36" s="10" t="s">
        <v>509</v>
      </c>
      <c r="H36" s="10" t="s">
        <v>574</v>
      </c>
      <c r="I36" s="10" t="s">
        <v>511</v>
      </c>
      <c r="J36" s="10" t="s">
        <v>512</v>
      </c>
      <c r="K36" s="10" t="s">
        <v>78</v>
      </c>
      <c r="L36" s="10" t="s">
        <v>78</v>
      </c>
      <c r="M36" s="10" t="s">
        <v>559</v>
      </c>
    </row>
    <row r="37" customFormat="false" ht="32.8" hidden="false" customHeight="false" outlineLevel="0" collapsed="false">
      <c r="A37" s="11" t="s">
        <v>629</v>
      </c>
      <c r="B37" s="12" t="s">
        <v>630</v>
      </c>
      <c r="C37" s="12" t="s">
        <v>151</v>
      </c>
      <c r="D37" s="12" t="s">
        <v>631</v>
      </c>
      <c r="E37" s="12" t="s">
        <v>516</v>
      </c>
      <c r="F37" s="12" t="s">
        <v>517</v>
      </c>
      <c r="G37" s="12" t="s">
        <v>518</v>
      </c>
      <c r="H37" s="12" t="s">
        <v>542</v>
      </c>
      <c r="I37" s="12" t="s">
        <v>520</v>
      </c>
      <c r="J37" s="12" t="s">
        <v>521</v>
      </c>
      <c r="K37" s="12" t="s">
        <v>195</v>
      </c>
      <c r="L37" s="12" t="s">
        <v>195</v>
      </c>
      <c r="M37" s="12" t="s">
        <v>522</v>
      </c>
    </row>
    <row r="38" customFormat="false" ht="32.8" hidden="false" customHeight="false" outlineLevel="0" collapsed="false">
      <c r="A38" s="9" t="s">
        <v>632</v>
      </c>
      <c r="B38" s="10" t="s">
        <v>633</v>
      </c>
      <c r="C38" s="10" t="s">
        <v>177</v>
      </c>
      <c r="D38" s="10" t="s">
        <v>123</v>
      </c>
      <c r="E38" s="10" t="s">
        <v>556</v>
      </c>
      <c r="F38" s="10" t="s">
        <v>535</v>
      </c>
      <c r="G38" s="10" t="s">
        <v>536</v>
      </c>
      <c r="H38" s="10" t="s">
        <v>537</v>
      </c>
      <c r="I38" s="10" t="s">
        <v>520</v>
      </c>
      <c r="J38" s="10" t="s">
        <v>568</v>
      </c>
      <c r="K38" s="10" t="s">
        <v>97</v>
      </c>
      <c r="L38" s="10" t="s">
        <v>97</v>
      </c>
      <c r="M38" s="10" t="s">
        <v>559</v>
      </c>
    </row>
  </sheetData>
  <mergeCells count="5">
    <mergeCell ref="A1:J1"/>
    <mergeCell ref="A2:J2"/>
    <mergeCell ref="A3:E3"/>
    <mergeCell ref="F3:I3"/>
    <mergeCell ref="K3:M3"/>
  </mergeCells>
  <dataValidations count="3">
    <dataValidation allowBlank="true" errorStyle="stop" operator="between" showDropDown="false" showErrorMessage="false" showInputMessage="false" sqref="E5:E34" type="list">
      <formula1>"Super Luxury,Luxury,Premium,Economy,Value,All Segments"</formula1>
      <formula2>0</formula2>
    </dataValidation>
    <dataValidation allowBlank="true" errorStyle="stop" operator="between" showDropDown="false" showErrorMessage="false" showInputMessage="false" sqref="K5:K34" type="list">
      <formula1>"Asian Paints,Birla Opus,Dulux Paints,JSW Paints,Multiple,None"</formula1>
      <formula2>0</formula2>
    </dataValidation>
    <dataValidation allowBlank="true" errorStyle="stop" operator="between" showDropDown="false" showErrorMessage="false" showInputMessage="false" sqref="L5:L34" type="list">
      <formula1>"Asian Paints,Birla Opus,Dulux Paints,JSW Paints"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  <col collapsed="false" customWidth="true" hidden="false" outlineLevel="0" max="10" min="6" style="0" width="10"/>
    <col collapsed="false" customWidth="true" hidden="false" outlineLevel="0" max="11" min="11" style="0" width="18"/>
    <col collapsed="false" customWidth="true" hidden="false" outlineLevel="0" max="12" min="12" style="0" width="25"/>
  </cols>
  <sheetData>
    <row r="1" customFormat="false" ht="27.75" hidden="false" customHeight="true" outlineLevel="0" collapsed="false">
      <c r="A1" s="17" t="s">
        <v>634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18" hidden="false" customHeight="true" outlineLevel="0" collapsed="false">
      <c r="A2" s="6" t="s">
        <v>635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36" hidden="false" customHeight="true" outlineLevel="0" collapsed="false">
      <c r="A3" s="18" t="s">
        <v>636</v>
      </c>
      <c r="B3" s="18" t="s">
        <v>637</v>
      </c>
      <c r="C3" s="18" t="s">
        <v>638</v>
      </c>
      <c r="D3" s="18" t="s">
        <v>639</v>
      </c>
      <c r="E3" s="18" t="s">
        <v>640</v>
      </c>
      <c r="F3" s="18" t="s">
        <v>641</v>
      </c>
      <c r="G3" s="18" t="s">
        <v>642</v>
      </c>
      <c r="H3" s="18" t="s">
        <v>643</v>
      </c>
      <c r="I3" s="18" t="s">
        <v>644</v>
      </c>
      <c r="J3" s="18" t="s">
        <v>645</v>
      </c>
      <c r="K3" s="18" t="s">
        <v>646</v>
      </c>
      <c r="L3" s="18" t="s">
        <v>647</v>
      </c>
    </row>
    <row r="4" customFormat="false" ht="27.75" hidden="false" customHeight="true" outlineLevel="0" collapsed="false">
      <c r="A4" s="19" t="s">
        <v>648</v>
      </c>
      <c r="B4" s="9" t="n">
        <f aca="false">COUNTIF('🏪 Dealer_Retailer'!V4:V33,"Asian Paints")</f>
        <v>12</v>
      </c>
      <c r="C4" s="9" t="n">
        <f aca="false">COUNTIF('🏪 Dealer_Retailer'!V4:V33,"Birla Opus")</f>
        <v>6</v>
      </c>
      <c r="D4" s="9" t="n">
        <f aca="false">COUNTIF('🏪 Dealer_Retailer'!V4:V33,"Dulux Paints")</f>
        <v>5</v>
      </c>
      <c r="E4" s="9" t="n">
        <f aca="false">COUNTIF('🏪 Dealer_Retailer'!V4:V33,"JSW Paints")</f>
        <v>7</v>
      </c>
      <c r="F4" s="9" t="n">
        <f aca="false">B4+C4+D4+E4</f>
        <v>30</v>
      </c>
      <c r="G4" s="9" t="n">
        <f aca="false">IFERROR(ROUND(B4/MAX(B4:E4)*10,1),0)</f>
        <v>10</v>
      </c>
      <c r="H4" s="9" t="n">
        <f aca="false">IFERROR(ROUND(C4/MAX(B4:E4)*10,1),0)</f>
        <v>5</v>
      </c>
      <c r="I4" s="9" t="n">
        <f aca="false">IFERROR(ROUND(D4/MAX(B4:E4)*10,1),0)</f>
        <v>4.2</v>
      </c>
      <c r="J4" s="9" t="n">
        <f aca="false">IFERROR(ROUND(E4/MAX(B4:E4)*10,1),0)</f>
        <v>5.8</v>
      </c>
      <c r="K4" s="20" t="str">
        <f aca="false">IFERROR(INDEX({"Asian Paints","Birla Opus","Dulux Paints","JSW Paints"},MATCH(MAX(B4:E4),B4:E4,0)),"-")</f>
        <v>Asian Paints</v>
      </c>
      <c r="L4" s="21"/>
    </row>
    <row r="5" customFormat="false" ht="27.75" hidden="false" customHeight="true" outlineLevel="0" collapsed="false">
      <c r="A5" s="19" t="s">
        <v>649</v>
      </c>
      <c r="B5" s="11" t="n">
        <f aca="false">COUNTIF('🏪 Dealer_Retailer'!V4:V33,"Asian Paints")</f>
        <v>12</v>
      </c>
      <c r="C5" s="11" t="n">
        <f aca="false">COUNTIF('🏪 Dealer_Retailer'!V4:V33,"Birla Opus")</f>
        <v>6</v>
      </c>
      <c r="D5" s="11" t="n">
        <f aca="false">COUNTIF('🏪 Dealer_Retailer'!V4:V33,"Dulux Paints")</f>
        <v>5</v>
      </c>
      <c r="E5" s="11" t="n">
        <f aca="false">COUNTIF('🏪 Dealer_Retailer'!V4:V33,"JSW Paints")</f>
        <v>7</v>
      </c>
      <c r="F5" s="11" t="n">
        <f aca="false">B5+C5+D5+E5</f>
        <v>30</v>
      </c>
      <c r="G5" s="11" t="n">
        <f aca="false">IFERROR(ROUND(B5/MAX(B5:E5)*10,1),0)</f>
        <v>10</v>
      </c>
      <c r="H5" s="11" t="n">
        <f aca="false">IFERROR(ROUND(C5/MAX(B5:E5)*10,1),0)</f>
        <v>5</v>
      </c>
      <c r="I5" s="11" t="n">
        <f aca="false">IFERROR(ROUND(D5/MAX(B5:E5)*10,1),0)</f>
        <v>4.2</v>
      </c>
      <c r="J5" s="11" t="n">
        <f aca="false">IFERROR(ROUND(E5/MAX(B5:E5)*10,1),0)</f>
        <v>5.8</v>
      </c>
      <c r="K5" s="20" t="str">
        <f aca="false">IFERROR(INDEX({"Asian Paints","Birla Opus","Dulux Paints","JSW Paints"},MATCH(MAX(B5:E5),B5:E5,0)),"-")</f>
        <v>Asian Paints</v>
      </c>
      <c r="L5" s="22"/>
    </row>
    <row r="6" customFormat="false" ht="27.75" hidden="false" customHeight="true" outlineLevel="0" collapsed="false">
      <c r="A6" s="19" t="s">
        <v>650</v>
      </c>
      <c r="B6" s="9" t="n">
        <f aca="false">COUNTIF('🏪 Dealer_Retailer'!V4:V33,"Asian Paints")</f>
        <v>12</v>
      </c>
      <c r="C6" s="9" t="n">
        <f aca="false">COUNTIF('🏪 Dealer_Retailer'!V4:V33,"Birla Opus")</f>
        <v>6</v>
      </c>
      <c r="D6" s="9" t="n">
        <f aca="false">COUNTIF('🏪 Dealer_Retailer'!V4:V33,"Dulux Paints")</f>
        <v>5</v>
      </c>
      <c r="E6" s="9" t="n">
        <f aca="false">COUNTIF('🏪 Dealer_Retailer'!V4:V33,"JSW Paints")</f>
        <v>7</v>
      </c>
      <c r="F6" s="9" t="n">
        <f aca="false">B6+C6+D6+E6</f>
        <v>30</v>
      </c>
      <c r="G6" s="9" t="n">
        <f aca="false">IFERROR(ROUND(B6/MAX(B6:E6)*10,1),0)</f>
        <v>10</v>
      </c>
      <c r="H6" s="9" t="n">
        <f aca="false">IFERROR(ROUND(C6/MAX(B6:E6)*10,1),0)</f>
        <v>5</v>
      </c>
      <c r="I6" s="9" t="n">
        <f aca="false">IFERROR(ROUND(D6/MAX(B6:E6)*10,1),0)</f>
        <v>4.2</v>
      </c>
      <c r="J6" s="9" t="n">
        <f aca="false">IFERROR(ROUND(E6/MAX(B6:E6)*10,1),0)</f>
        <v>5.8</v>
      </c>
      <c r="K6" s="20" t="str">
        <f aca="false">IFERROR(INDEX({"Asian Paints","Birla Opus","Dulux Paints","JSW Paints"},MATCH(MAX(B6:E6),B6:E6,0)),"-")</f>
        <v>Asian Paints</v>
      </c>
      <c r="L6" s="21"/>
    </row>
    <row r="7" customFormat="false" ht="27.75" hidden="false" customHeight="true" outlineLevel="0" collapsed="false">
      <c r="A7" s="19" t="s">
        <v>651</v>
      </c>
      <c r="B7" s="11" t="n">
        <f aca="false">COUNTIF('🏪 Dealer_Retailer'!V4:V33,"Asian Paints")</f>
        <v>12</v>
      </c>
      <c r="C7" s="11" t="n">
        <f aca="false">COUNTIF('🏪 Dealer_Retailer'!V4:V33,"Birla Opus")</f>
        <v>6</v>
      </c>
      <c r="D7" s="11" t="n">
        <f aca="false">COUNTIF('🏪 Dealer_Retailer'!V4:V33,"Dulux Paints")</f>
        <v>5</v>
      </c>
      <c r="E7" s="11" t="n">
        <f aca="false">COUNTIF('🏪 Dealer_Retailer'!V4:V33,"JSW Paints")</f>
        <v>7</v>
      </c>
      <c r="F7" s="11" t="n">
        <f aca="false">B7+C7+D7+E7</f>
        <v>30</v>
      </c>
      <c r="G7" s="11" t="n">
        <f aca="false">IFERROR(ROUND(B7/MAX(B7:E7)*10,1),0)</f>
        <v>10</v>
      </c>
      <c r="H7" s="11" t="n">
        <f aca="false">IFERROR(ROUND(C7/MAX(B7:E7)*10,1),0)</f>
        <v>5</v>
      </c>
      <c r="I7" s="11" t="n">
        <f aca="false">IFERROR(ROUND(D7/MAX(B7:E7)*10,1),0)</f>
        <v>4.2</v>
      </c>
      <c r="J7" s="11" t="n">
        <f aca="false">IFERROR(ROUND(E7/MAX(B7:E7)*10,1),0)</f>
        <v>5.8</v>
      </c>
      <c r="K7" s="20" t="str">
        <f aca="false">IFERROR(INDEX({"Asian Paints","Birla Opus","Dulux Paints","JSW Paints"},MATCH(MAX(B7:E7),B7:E7,0)),"-")</f>
        <v>Asian Paints</v>
      </c>
      <c r="L7" s="22"/>
    </row>
    <row r="8" customFormat="false" ht="27.75" hidden="false" customHeight="true" outlineLevel="0" collapsed="false">
      <c r="A8" s="19" t="s">
        <v>652</v>
      </c>
      <c r="B8" s="9" t="n">
        <f aca="false">COUNTIF('🏪 Dealer_Retailer'!V4:V33,"Asian Paints")</f>
        <v>12</v>
      </c>
      <c r="C8" s="9" t="n">
        <f aca="false">COUNTIF('🏪 Dealer_Retailer'!V4:V33,"Birla Opus")</f>
        <v>6</v>
      </c>
      <c r="D8" s="9" t="n">
        <f aca="false">COUNTIF('🏪 Dealer_Retailer'!V4:V33,"Dulux Paints")</f>
        <v>5</v>
      </c>
      <c r="E8" s="9" t="n">
        <f aca="false">COUNTIF('🏪 Dealer_Retailer'!V4:V33,"JSW Paints")</f>
        <v>7</v>
      </c>
      <c r="F8" s="9" t="n">
        <f aca="false">B8+C8+D8+E8</f>
        <v>30</v>
      </c>
      <c r="G8" s="9" t="n">
        <f aca="false">IFERROR(ROUND(B8/MAX(B8:E8)*10,1),0)</f>
        <v>10</v>
      </c>
      <c r="H8" s="9" t="n">
        <f aca="false">IFERROR(ROUND(C8/MAX(B8:E8)*10,1),0)</f>
        <v>5</v>
      </c>
      <c r="I8" s="9" t="n">
        <f aca="false">IFERROR(ROUND(D8/MAX(B8:E8)*10,1),0)</f>
        <v>4.2</v>
      </c>
      <c r="J8" s="9" t="n">
        <f aca="false">IFERROR(ROUND(E8/MAX(B8:E8)*10,1),0)</f>
        <v>5.8</v>
      </c>
      <c r="K8" s="20" t="str">
        <f aca="false">IFERROR(INDEX({"Asian Paints","Birla Opus","Dulux Paints","JSW Paints"},MATCH(MAX(B8:E8),B8:E8,0)),"-")</f>
        <v>Asian Paints</v>
      </c>
      <c r="L8" s="21"/>
    </row>
    <row r="9" customFormat="false" ht="27.75" hidden="false" customHeight="true" outlineLevel="0" collapsed="false">
      <c r="A9" s="19" t="s">
        <v>653</v>
      </c>
      <c r="B9" s="11" t="n">
        <f aca="false">COUNTIF('🏪 Dealer_Retailer'!V4:V33,"Asian Paints")</f>
        <v>12</v>
      </c>
      <c r="C9" s="11" t="n">
        <f aca="false">COUNTIF('🏪 Dealer_Retailer'!V4:V33,"Birla Opus")</f>
        <v>6</v>
      </c>
      <c r="D9" s="11" t="n">
        <f aca="false">COUNTIF('🏪 Dealer_Retailer'!V4:V33,"Dulux Paints")</f>
        <v>5</v>
      </c>
      <c r="E9" s="11" t="n">
        <f aca="false">COUNTIF('🏪 Dealer_Retailer'!V4:V33,"JSW Paints")</f>
        <v>7</v>
      </c>
      <c r="F9" s="11" t="n">
        <f aca="false">B9+C9+D9+E9</f>
        <v>30</v>
      </c>
      <c r="G9" s="11" t="n">
        <f aca="false">IFERROR(ROUND(B9/MAX(B9:E9)*10,1),0)</f>
        <v>10</v>
      </c>
      <c r="H9" s="11" t="n">
        <f aca="false">IFERROR(ROUND(C9/MAX(B9:E9)*10,1),0)</f>
        <v>5</v>
      </c>
      <c r="I9" s="11" t="n">
        <f aca="false">IFERROR(ROUND(D9/MAX(B9:E9)*10,1),0)</f>
        <v>4.2</v>
      </c>
      <c r="J9" s="11" t="n">
        <f aca="false">IFERROR(ROUND(E9/MAX(B9:E9)*10,1),0)</f>
        <v>5.8</v>
      </c>
      <c r="K9" s="20" t="str">
        <f aca="false">IFERROR(INDEX({"Asian Paints","Birla Opus","Dulux Paints","JSW Paints"},MATCH(MAX(B9:E9),B9:E9,0)),"-")</f>
        <v>Asian Paints</v>
      </c>
      <c r="L9" s="22"/>
    </row>
    <row r="10" customFormat="false" ht="27.75" hidden="false" customHeight="true" outlineLevel="0" collapsed="false">
      <c r="A10" s="19" t="s">
        <v>654</v>
      </c>
      <c r="B10" s="9" t="n">
        <f aca="false">COUNTIF('🏪 Dealer_Retailer'!V4:V33,"Asian Paints")</f>
        <v>12</v>
      </c>
      <c r="C10" s="9" t="n">
        <f aca="false">COUNTIF('🏪 Dealer_Retailer'!V4:V33,"Birla Opus")</f>
        <v>6</v>
      </c>
      <c r="D10" s="9" t="n">
        <f aca="false">COUNTIF('🏪 Dealer_Retailer'!V4:V33,"Dulux Paints")</f>
        <v>5</v>
      </c>
      <c r="E10" s="9" t="n">
        <f aca="false">COUNTIF('🏪 Dealer_Retailer'!V4:V33,"JSW Paints")</f>
        <v>7</v>
      </c>
      <c r="F10" s="9" t="n">
        <f aca="false">B10+C10+D10+E10</f>
        <v>30</v>
      </c>
      <c r="G10" s="9" t="n">
        <f aca="false">IFERROR(ROUND(B10/MAX(B10:E10)*10,1),0)</f>
        <v>10</v>
      </c>
      <c r="H10" s="9" t="n">
        <f aca="false">IFERROR(ROUND(C10/MAX(B10:E10)*10,1),0)</f>
        <v>5</v>
      </c>
      <c r="I10" s="9" t="n">
        <f aca="false">IFERROR(ROUND(D10/MAX(B10:E10)*10,1),0)</f>
        <v>4.2</v>
      </c>
      <c r="J10" s="9" t="n">
        <f aca="false">IFERROR(ROUND(E10/MAX(B10:E10)*10,1),0)</f>
        <v>5.8</v>
      </c>
      <c r="K10" s="20" t="str">
        <f aca="false">IFERROR(INDEX({"Asian Paints","Birla Opus","Dulux Paints","JSW Paints"},MATCH(MAX(B10:E10),B10:E10,0)),"-")</f>
        <v>Asian Paints</v>
      </c>
      <c r="L10" s="21"/>
    </row>
    <row r="11" customFormat="false" ht="27.75" hidden="false" customHeight="true" outlineLevel="0" collapsed="false">
      <c r="A11" s="19" t="s">
        <v>655</v>
      </c>
      <c r="B11" s="11" t="n">
        <f aca="false">COUNTIF('🔨 Contractor'!O4:O33,"Asian Paints")</f>
        <v>9</v>
      </c>
      <c r="C11" s="11" t="n">
        <f aca="false">COUNTIF('🔨 Contractor'!O4:O33,"Birla Opus")</f>
        <v>6</v>
      </c>
      <c r="D11" s="11" t="n">
        <f aca="false">COUNTIF('🔨 Contractor'!O4:O33,"Dulux Paints")</f>
        <v>5</v>
      </c>
      <c r="E11" s="11" t="n">
        <f aca="false">COUNTIF('🔨 Contractor'!O4:O33,"JSW Paints")</f>
        <v>10</v>
      </c>
      <c r="F11" s="11" t="n">
        <f aca="false">B11+C11+D11+E11</f>
        <v>30</v>
      </c>
      <c r="G11" s="11" t="n">
        <f aca="false">IFERROR(ROUND(B11/MAX(B11:E11)*10,1),0)</f>
        <v>9</v>
      </c>
      <c r="H11" s="11" t="n">
        <f aca="false">IFERROR(ROUND(C11/MAX(B11:E11)*10,1),0)</f>
        <v>6</v>
      </c>
      <c r="I11" s="11" t="n">
        <f aca="false">IFERROR(ROUND(D11/MAX(B11:E11)*10,1),0)</f>
        <v>5</v>
      </c>
      <c r="J11" s="11" t="n">
        <f aca="false">IFERROR(ROUND(E11/MAX(B11:E11)*10,1),0)</f>
        <v>10</v>
      </c>
      <c r="K11" s="20" t="str">
        <f aca="false">IFERROR(INDEX({"Asian Paints","Birla Opus","Dulux Paints","JSW Paints"},MATCH(MAX(B11:E11),B11:E11,0)),"-")</f>
        <v>JSW Paints</v>
      </c>
      <c r="L11" s="22"/>
    </row>
    <row r="12" customFormat="false" ht="27.75" hidden="false" customHeight="true" outlineLevel="0" collapsed="false">
      <c r="A12" s="19" t="s">
        <v>656</v>
      </c>
      <c r="B12" s="9" t="n">
        <f aca="false">COUNTIF('🏭 Distributor_Wholesaler'!L4:L18,"Asian Paints")</f>
        <v>5</v>
      </c>
      <c r="C12" s="9" t="n">
        <f aca="false">COUNTIF('🏭 Distributor_Wholesaler'!L4:L18,"Birla Opus")</f>
        <v>3</v>
      </c>
      <c r="D12" s="9" t="n">
        <f aca="false">COUNTIF('🏭 Distributor_Wholesaler'!L4:L18,"Dulux Paints")</f>
        <v>3</v>
      </c>
      <c r="E12" s="9" t="n">
        <f aca="false">COUNTIF('🏭 Distributor_Wholesaler'!L4:L18,"JSW Paints")</f>
        <v>4</v>
      </c>
      <c r="F12" s="9" t="n">
        <f aca="false">B12+C12+D12+E12</f>
        <v>15</v>
      </c>
      <c r="G12" s="9" t="n">
        <f aca="false">IFERROR(ROUND(B12/MAX(B12:E12)*10,1),0)</f>
        <v>10</v>
      </c>
      <c r="H12" s="9" t="n">
        <f aca="false">IFERROR(ROUND(C12/MAX(B12:E12)*10,1),0)</f>
        <v>6</v>
      </c>
      <c r="I12" s="9" t="n">
        <f aca="false">IFERROR(ROUND(D12/MAX(B12:E12)*10,1),0)</f>
        <v>6</v>
      </c>
      <c r="J12" s="9" t="n">
        <f aca="false">IFERROR(ROUND(E12/MAX(B12:E12)*10,1),0)</f>
        <v>8</v>
      </c>
      <c r="K12" s="20" t="str">
        <f aca="false">IFERROR(INDEX({"Asian Paints","Birla Opus","Dulux Paints","JSW Paints"},MATCH(MAX(B12:E12),B12:E12,0)),"-")</f>
        <v>Asian Paints</v>
      </c>
      <c r="L12" s="21"/>
    </row>
    <row r="13" customFormat="false" ht="27.75" hidden="false" customHeight="true" outlineLevel="0" collapsed="false">
      <c r="A13" s="19" t="s">
        <v>657</v>
      </c>
      <c r="B13" s="11" t="n">
        <f aca="false">COUNTIF('👤 Customer'!L4:L38,"Asian Paints")</f>
        <v>12</v>
      </c>
      <c r="C13" s="11" t="n">
        <f aca="false">COUNTIF('👤 Customer'!L4:L38,"Birla Opus")</f>
        <v>9</v>
      </c>
      <c r="D13" s="11" t="n">
        <f aca="false">COUNTIF('👤 Customer'!L4:L38,"Dulux Paints")</f>
        <v>7</v>
      </c>
      <c r="E13" s="11" t="n">
        <f aca="false">COUNTIF('👤 Customer'!L4:L38,"JSW Paints")</f>
        <v>7</v>
      </c>
      <c r="F13" s="11" t="n">
        <f aca="false">B13+C13+D13+E13</f>
        <v>35</v>
      </c>
      <c r="G13" s="11" t="n">
        <f aca="false">IFERROR(ROUND(B13/MAX(B13:E13)*10,1),0)</f>
        <v>10</v>
      </c>
      <c r="H13" s="11" t="n">
        <f aca="false">IFERROR(ROUND(C13/MAX(B13:E13)*10,1),0)</f>
        <v>7.5</v>
      </c>
      <c r="I13" s="11" t="n">
        <f aca="false">IFERROR(ROUND(D13/MAX(B13:E13)*10,1),0)</f>
        <v>5.8</v>
      </c>
      <c r="J13" s="11" t="n">
        <f aca="false">IFERROR(ROUND(E13/MAX(B13:E13)*10,1),0)</f>
        <v>5.8</v>
      </c>
      <c r="K13" s="20" t="str">
        <f aca="false">IFERROR(INDEX({"Asian Paints","Birla Opus","Dulux Paints","JSW Paints"},MATCH(MAX(B13:E13),B13:E13,0)),"-")</f>
        <v>Asian Paints</v>
      </c>
      <c r="L13" s="22"/>
    </row>
    <row r="14" customFormat="false" ht="14.25" hidden="false" customHeight="false" outlineLevel="0" collapsed="false">
      <c r="A14" s="23" t="s">
        <v>658</v>
      </c>
      <c r="B14" s="24" t="n">
        <f aca="false">SUM(B4:B13)</f>
        <v>110</v>
      </c>
      <c r="C14" s="24" t="n">
        <f aca="false">SUM(C4:C13)</f>
        <v>60</v>
      </c>
      <c r="D14" s="24" t="n">
        <f aca="false">SUM(D4:D13)</f>
        <v>50</v>
      </c>
      <c r="E14" s="24" t="n">
        <f aca="false">SUM(E4:E13)</f>
        <v>70</v>
      </c>
      <c r="F14" s="25"/>
      <c r="G14" s="25"/>
      <c r="H14" s="25"/>
      <c r="I14" s="25"/>
      <c r="J14" s="25"/>
      <c r="K14" s="25"/>
      <c r="L14" s="25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3" ySplit="3" topLeftCell="D43" activePane="bottomRight" state="frozen"/>
      <selection pane="topLeft" activeCell="A1" activeCellId="0" sqref="A1"/>
      <selection pane="topRight" activeCell="D1" activeCellId="0" sqref="D1"/>
      <selection pane="bottomLeft" activeCell="A43" activeCellId="0" sqref="A43"/>
      <selection pane="bottomRight" activeCell="E13" activeCellId="0" sqref="E13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12" min="4" style="0" width="14"/>
    <col collapsed="false" customWidth="true" hidden="false" outlineLevel="0" max="13" min="13" style="0" width="1"/>
  </cols>
  <sheetData>
    <row r="1" customFormat="false" ht="27.75" hidden="false" customHeight="true" outlineLevel="0" collapsed="false">
      <c r="A1" s="14" t="s">
        <v>659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8" hidden="false" customHeight="true" outlineLevel="0" collapsed="false">
      <c r="A2" s="26" t="s">
        <v>660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customFormat="false" ht="36" hidden="false" customHeight="true" outlineLevel="0" collapsed="false">
      <c r="A3" s="18" t="s">
        <v>661</v>
      </c>
      <c r="B3" s="18" t="s">
        <v>662</v>
      </c>
      <c r="C3" s="18" t="s">
        <v>663</v>
      </c>
      <c r="D3" s="27" t="s">
        <v>664</v>
      </c>
      <c r="E3" s="27" t="s">
        <v>665</v>
      </c>
      <c r="F3" s="27" t="s">
        <v>666</v>
      </c>
      <c r="G3" s="27" t="s">
        <v>667</v>
      </c>
      <c r="H3" s="27" t="s">
        <v>668</v>
      </c>
      <c r="I3" s="27" t="s">
        <v>669</v>
      </c>
      <c r="J3" s="27" t="s">
        <v>670</v>
      </c>
      <c r="K3" s="27" t="s">
        <v>671</v>
      </c>
      <c r="L3" s="27" t="s">
        <v>672</v>
      </c>
    </row>
    <row r="4" customFormat="false" ht="21.75" hidden="false" customHeight="true" outlineLevel="0" collapsed="false">
      <c r="A4" s="9" t="s">
        <v>58</v>
      </c>
      <c r="B4" s="10" t="s">
        <v>673</v>
      </c>
      <c r="C4" s="9" t="s">
        <v>674</v>
      </c>
      <c r="D4" s="9" t="n">
        <v>10</v>
      </c>
      <c r="E4" s="9" t="n">
        <v>10</v>
      </c>
      <c r="F4" s="9" t="n">
        <v>8.5</v>
      </c>
      <c r="G4" s="9" t="n">
        <v>10</v>
      </c>
      <c r="H4" s="9" t="n">
        <v>9.4</v>
      </c>
      <c r="I4" s="9" t="n">
        <v>9.8</v>
      </c>
      <c r="J4" s="9" t="n">
        <v>9.6</v>
      </c>
      <c r="K4" s="9" t="n">
        <v>10</v>
      </c>
      <c r="L4" s="9" t="n">
        <f aca="false">IFERROR(AVERAGE(D4:K4),"")</f>
        <v>9.6625</v>
      </c>
    </row>
    <row r="5" customFormat="false" ht="21.75" hidden="false" customHeight="true" outlineLevel="0" collapsed="false">
      <c r="A5" s="11" t="s">
        <v>80</v>
      </c>
      <c r="B5" s="12" t="s">
        <v>675</v>
      </c>
      <c r="C5" s="11" t="s">
        <v>674</v>
      </c>
      <c r="D5" s="11" t="n">
        <v>5.9</v>
      </c>
      <c r="E5" s="11" t="n">
        <v>6.4</v>
      </c>
      <c r="F5" s="11" t="n">
        <v>5.7</v>
      </c>
      <c r="G5" s="11" t="n">
        <v>6.4</v>
      </c>
      <c r="H5" s="11" t="n">
        <v>4.8</v>
      </c>
      <c r="I5" s="11" t="n">
        <v>6.2</v>
      </c>
      <c r="J5" s="11" t="n">
        <v>7.6</v>
      </c>
      <c r="K5" s="11" t="n">
        <v>7.4</v>
      </c>
      <c r="L5" s="11" t="n">
        <f aca="false">IFERROR(AVERAGE(D5:K5),"")</f>
        <v>6.3</v>
      </c>
    </row>
    <row r="6" customFormat="false" ht="21.75" hidden="false" customHeight="true" outlineLevel="0" collapsed="false">
      <c r="A6" s="9" t="s">
        <v>99</v>
      </c>
      <c r="B6" s="10" t="s">
        <v>676</v>
      </c>
      <c r="C6" s="9" t="s">
        <v>674</v>
      </c>
      <c r="D6" s="9" t="n">
        <v>9.3</v>
      </c>
      <c r="E6" s="9" t="n">
        <v>6.7</v>
      </c>
      <c r="F6" s="9" t="n">
        <v>10</v>
      </c>
      <c r="G6" s="9" t="n">
        <v>9.4</v>
      </c>
      <c r="H6" s="9" t="n">
        <v>9.2</v>
      </c>
      <c r="I6" s="9" t="n">
        <v>8.7</v>
      </c>
      <c r="J6" s="9" t="n">
        <v>8.1</v>
      </c>
      <c r="K6" s="9" t="n">
        <v>9.3</v>
      </c>
      <c r="L6" s="9" t="n">
        <f aca="false">IFERROR(AVERAGE(D6:K6),"")</f>
        <v>8.8375</v>
      </c>
    </row>
    <row r="7" customFormat="false" ht="21.75" hidden="false" customHeight="true" outlineLevel="0" collapsed="false">
      <c r="A7" s="11" t="s">
        <v>109</v>
      </c>
      <c r="B7" s="12" t="s">
        <v>677</v>
      </c>
      <c r="C7" s="11" t="s">
        <v>674</v>
      </c>
      <c r="D7" s="11" t="n">
        <v>7.8</v>
      </c>
      <c r="E7" s="11" t="n">
        <v>8.7</v>
      </c>
      <c r="F7" s="11" t="n">
        <v>8.4</v>
      </c>
      <c r="G7" s="11" t="n">
        <v>8.5</v>
      </c>
      <c r="H7" s="11" t="n">
        <v>8.6</v>
      </c>
      <c r="I7" s="11" t="n">
        <v>10</v>
      </c>
      <c r="J7" s="11" t="n">
        <v>9.1</v>
      </c>
      <c r="K7" s="11" t="n">
        <v>10</v>
      </c>
      <c r="L7" s="11" t="n">
        <f aca="false">IFERROR(AVERAGE(D7:K7),"")</f>
        <v>8.8875</v>
      </c>
    </row>
    <row r="8" customFormat="false" ht="21.75" hidden="false" customHeight="true" outlineLevel="0" collapsed="false">
      <c r="A8" s="9" t="s">
        <v>120</v>
      </c>
      <c r="B8" s="10" t="s">
        <v>678</v>
      </c>
      <c r="C8" s="9" t="s">
        <v>674</v>
      </c>
      <c r="D8" s="9" t="n">
        <v>6.4</v>
      </c>
      <c r="E8" s="9" t="n">
        <v>6.9</v>
      </c>
      <c r="F8" s="9" t="n">
        <v>4.8</v>
      </c>
      <c r="G8" s="9" t="n">
        <v>6.7</v>
      </c>
      <c r="H8" s="9" t="n">
        <v>5.1</v>
      </c>
      <c r="I8" s="9" t="n">
        <v>7</v>
      </c>
      <c r="J8" s="9" t="n">
        <v>7</v>
      </c>
      <c r="K8" s="9" t="n">
        <v>6.6</v>
      </c>
      <c r="L8" s="9" t="n">
        <f aca="false">IFERROR(AVERAGE(D8:K8),"")</f>
        <v>6.3125</v>
      </c>
    </row>
    <row r="9" customFormat="false" ht="21.75" hidden="false" customHeight="true" outlineLevel="0" collapsed="false">
      <c r="A9" s="11" t="s">
        <v>132</v>
      </c>
      <c r="B9" s="12" t="s">
        <v>679</v>
      </c>
      <c r="C9" s="11" t="s">
        <v>674</v>
      </c>
      <c r="D9" s="11" t="n">
        <v>6.6</v>
      </c>
      <c r="E9" s="11" t="n">
        <v>9.4</v>
      </c>
      <c r="F9" s="11" t="n">
        <v>7.3</v>
      </c>
      <c r="G9" s="11" t="n">
        <v>6.4</v>
      </c>
      <c r="H9" s="11" t="n">
        <v>8</v>
      </c>
      <c r="I9" s="11" t="n">
        <v>6.6</v>
      </c>
      <c r="J9" s="11" t="n">
        <v>8.7</v>
      </c>
      <c r="K9" s="11" t="n">
        <v>7.8</v>
      </c>
      <c r="L9" s="11" t="n">
        <f aca="false">IFERROR(AVERAGE(D9:K9),"")</f>
        <v>7.6</v>
      </c>
    </row>
    <row r="10" customFormat="false" ht="21.75" hidden="false" customHeight="true" outlineLevel="0" collapsed="false">
      <c r="A10" s="9" t="s">
        <v>149</v>
      </c>
      <c r="B10" s="10" t="s">
        <v>680</v>
      </c>
      <c r="C10" s="9" t="s">
        <v>674</v>
      </c>
      <c r="D10" s="9" t="n">
        <v>9</v>
      </c>
      <c r="E10" s="9" t="n">
        <v>9.5</v>
      </c>
      <c r="F10" s="9" t="n">
        <v>10</v>
      </c>
      <c r="G10" s="9" t="n">
        <v>8.7</v>
      </c>
      <c r="H10" s="9" t="n">
        <v>10</v>
      </c>
      <c r="I10" s="9" t="n">
        <v>10</v>
      </c>
      <c r="J10" s="9" t="n">
        <v>9.7</v>
      </c>
      <c r="K10" s="9" t="n">
        <v>9.7</v>
      </c>
      <c r="L10" s="9" t="n">
        <f aca="false">IFERROR(AVERAGE(D10:K10),"")</f>
        <v>9.575</v>
      </c>
    </row>
    <row r="11" customFormat="false" ht="21.75" hidden="false" customHeight="true" outlineLevel="0" collapsed="false">
      <c r="A11" s="11" t="s">
        <v>156</v>
      </c>
      <c r="B11" s="12" t="s">
        <v>280</v>
      </c>
      <c r="C11" s="11" t="s">
        <v>674</v>
      </c>
      <c r="D11" s="11" t="n">
        <v>9.4</v>
      </c>
      <c r="E11" s="11" t="n">
        <v>7.1</v>
      </c>
      <c r="F11" s="11" t="n">
        <v>10</v>
      </c>
      <c r="G11" s="11" t="n">
        <v>8.6</v>
      </c>
      <c r="H11" s="11" t="n">
        <v>6</v>
      </c>
      <c r="I11" s="11" t="n">
        <v>10</v>
      </c>
      <c r="J11" s="11" t="n">
        <v>6.7</v>
      </c>
      <c r="K11" s="11" t="n">
        <v>10</v>
      </c>
      <c r="L11" s="11" t="n">
        <f aca="false">IFERROR(AVERAGE(D11:K11),"")</f>
        <v>8.475</v>
      </c>
    </row>
    <row r="12" customFormat="false" ht="21.75" hidden="false" customHeight="true" outlineLevel="0" collapsed="false">
      <c r="A12" s="9" t="s">
        <v>163</v>
      </c>
      <c r="B12" s="10" t="s">
        <v>681</v>
      </c>
      <c r="C12" s="9" t="s">
        <v>674</v>
      </c>
      <c r="D12" s="9" t="n">
        <v>10</v>
      </c>
      <c r="E12" s="9" t="n">
        <v>8.5</v>
      </c>
      <c r="F12" s="9" t="n">
        <v>8.3</v>
      </c>
      <c r="G12" s="9" t="n">
        <v>7.2</v>
      </c>
      <c r="H12" s="9" t="n">
        <v>7.6</v>
      </c>
      <c r="I12" s="9" t="n">
        <v>8.8</v>
      </c>
      <c r="J12" s="9" t="n">
        <v>8.1</v>
      </c>
      <c r="K12" s="9" t="n">
        <v>10</v>
      </c>
      <c r="L12" s="9" t="n">
        <f aca="false">IFERROR(AVERAGE(D12:K12),"")</f>
        <v>8.5625</v>
      </c>
    </row>
    <row r="13" customFormat="false" ht="21.75" hidden="false" customHeight="true" outlineLevel="0" collapsed="false">
      <c r="A13" s="11" t="s">
        <v>169</v>
      </c>
      <c r="B13" s="12" t="s">
        <v>682</v>
      </c>
      <c r="C13" s="11" t="s">
        <v>674</v>
      </c>
      <c r="D13" s="11" t="n">
        <v>5.5</v>
      </c>
      <c r="E13" s="11" t="n">
        <v>6.9</v>
      </c>
      <c r="F13" s="11" t="n">
        <v>6.9</v>
      </c>
      <c r="G13" s="11" t="n">
        <v>6</v>
      </c>
      <c r="H13" s="11" t="n">
        <v>6.8</v>
      </c>
      <c r="I13" s="11" t="n">
        <v>6.6</v>
      </c>
      <c r="J13" s="11" t="n">
        <v>6.9</v>
      </c>
      <c r="K13" s="11" t="n">
        <v>8.2</v>
      </c>
      <c r="L13" s="11" t="n">
        <f aca="false">IFERROR(AVERAGE(D13:K13),"")</f>
        <v>6.725</v>
      </c>
    </row>
    <row r="14" customFormat="false" ht="21.75" hidden="false" customHeight="true" outlineLevel="0" collapsed="false">
      <c r="A14" s="9" t="s">
        <v>175</v>
      </c>
      <c r="B14" s="10" t="s">
        <v>683</v>
      </c>
      <c r="C14" s="9" t="s">
        <v>674</v>
      </c>
      <c r="D14" s="9" t="n">
        <v>7.8</v>
      </c>
      <c r="E14" s="9" t="n">
        <v>8.7</v>
      </c>
      <c r="F14" s="9" t="n">
        <v>9.4</v>
      </c>
      <c r="G14" s="9" t="n">
        <v>8</v>
      </c>
      <c r="H14" s="9" t="n">
        <v>8.8</v>
      </c>
      <c r="I14" s="9" t="n">
        <v>10</v>
      </c>
      <c r="J14" s="9" t="n">
        <v>10</v>
      </c>
      <c r="K14" s="9" t="n">
        <v>8.8</v>
      </c>
      <c r="L14" s="9" t="n">
        <f aca="false">IFERROR(AVERAGE(D14:K14),"")</f>
        <v>8.9375</v>
      </c>
    </row>
    <row r="15" customFormat="false" ht="21.75" hidden="false" customHeight="true" outlineLevel="0" collapsed="false">
      <c r="A15" s="11" t="s">
        <v>181</v>
      </c>
      <c r="B15" s="12" t="s">
        <v>684</v>
      </c>
      <c r="C15" s="11" t="s">
        <v>674</v>
      </c>
      <c r="D15" s="11" t="n">
        <v>9.7</v>
      </c>
      <c r="E15" s="11" t="n">
        <v>10</v>
      </c>
      <c r="F15" s="11" t="n">
        <v>6.4</v>
      </c>
      <c r="G15" s="11" t="n">
        <v>9</v>
      </c>
      <c r="H15" s="11" t="n">
        <v>8</v>
      </c>
      <c r="I15" s="11" t="n">
        <v>8.2</v>
      </c>
      <c r="J15" s="11" t="n">
        <v>8.6</v>
      </c>
      <c r="K15" s="11" t="n">
        <v>8.3</v>
      </c>
      <c r="L15" s="11" t="n">
        <f aca="false">IFERROR(AVERAGE(D15:K15),"")</f>
        <v>8.525</v>
      </c>
    </row>
    <row r="16" customFormat="false" ht="21.75" hidden="false" customHeight="true" outlineLevel="0" collapsed="false">
      <c r="A16" s="9" t="s">
        <v>197</v>
      </c>
      <c r="B16" s="10" t="s">
        <v>685</v>
      </c>
      <c r="C16" s="9" t="s">
        <v>674</v>
      </c>
      <c r="D16" s="9" t="n">
        <v>10</v>
      </c>
      <c r="E16" s="9" t="n">
        <v>9.4</v>
      </c>
      <c r="F16" s="9" t="n">
        <v>8.9</v>
      </c>
      <c r="G16" s="9" t="n">
        <v>8.4</v>
      </c>
      <c r="H16" s="9" t="n">
        <v>9.2</v>
      </c>
      <c r="I16" s="9" t="n">
        <v>8</v>
      </c>
      <c r="J16" s="9" t="n">
        <v>8.6</v>
      </c>
      <c r="K16" s="9" t="n">
        <v>10</v>
      </c>
      <c r="L16" s="9" t="n">
        <f aca="false">IFERROR(AVERAGE(D16:K16),"")</f>
        <v>9.0625</v>
      </c>
    </row>
    <row r="17" customFormat="false" ht="21.75" hidden="false" customHeight="true" outlineLevel="0" collapsed="false">
      <c r="A17" s="11" t="s">
        <v>199</v>
      </c>
      <c r="B17" s="12" t="s">
        <v>533</v>
      </c>
      <c r="C17" s="11" t="s">
        <v>674</v>
      </c>
      <c r="D17" s="11" t="n">
        <v>7.2</v>
      </c>
      <c r="E17" s="11" t="n">
        <v>6.9</v>
      </c>
      <c r="F17" s="11" t="n">
        <v>6</v>
      </c>
      <c r="G17" s="11" t="n">
        <v>6.8</v>
      </c>
      <c r="H17" s="11" t="n">
        <v>7.3</v>
      </c>
      <c r="I17" s="11" t="n">
        <v>4.8</v>
      </c>
      <c r="J17" s="11" t="n">
        <v>6.7</v>
      </c>
      <c r="K17" s="11" t="n">
        <v>8</v>
      </c>
      <c r="L17" s="11" t="n">
        <f aca="false">IFERROR(AVERAGE(D17:K17),"")</f>
        <v>6.7125</v>
      </c>
    </row>
    <row r="18" customFormat="false" ht="21.75" hidden="false" customHeight="true" outlineLevel="0" collapsed="false">
      <c r="A18" s="9" t="s">
        <v>205</v>
      </c>
      <c r="B18" s="10" t="s">
        <v>686</v>
      </c>
      <c r="C18" s="9" t="s">
        <v>674</v>
      </c>
      <c r="D18" s="9" t="n">
        <v>7.5</v>
      </c>
      <c r="E18" s="9" t="n">
        <v>7.9</v>
      </c>
      <c r="F18" s="9" t="n">
        <v>8</v>
      </c>
      <c r="G18" s="9" t="n">
        <v>8.6</v>
      </c>
      <c r="H18" s="9" t="n">
        <v>7.3</v>
      </c>
      <c r="I18" s="9" t="n">
        <v>7.6</v>
      </c>
      <c r="J18" s="9" t="n">
        <v>8.3</v>
      </c>
      <c r="K18" s="9" t="n">
        <v>8.2</v>
      </c>
      <c r="L18" s="9" t="n">
        <f aca="false">IFERROR(AVERAGE(D18:K18),"")</f>
        <v>7.925</v>
      </c>
    </row>
    <row r="19" customFormat="false" ht="21.75" hidden="false" customHeight="true" outlineLevel="0" collapsed="false">
      <c r="A19" s="11" t="s">
        <v>211</v>
      </c>
      <c r="B19" s="12" t="s">
        <v>687</v>
      </c>
      <c r="C19" s="11" t="s">
        <v>674</v>
      </c>
      <c r="D19" s="11" t="n">
        <v>9.2</v>
      </c>
      <c r="E19" s="11" t="n">
        <v>6.4</v>
      </c>
      <c r="F19" s="11" t="n">
        <v>8.4</v>
      </c>
      <c r="G19" s="11" t="n">
        <v>5.9</v>
      </c>
      <c r="H19" s="11" t="n">
        <v>5.2</v>
      </c>
      <c r="I19" s="11" t="n">
        <v>7.2</v>
      </c>
      <c r="J19" s="11" t="n">
        <v>10</v>
      </c>
      <c r="K19" s="11" t="n">
        <v>6</v>
      </c>
      <c r="L19" s="11" t="n">
        <f aca="false">IFERROR(AVERAGE(D19:K19),"")</f>
        <v>7.2875</v>
      </c>
    </row>
    <row r="20" customFormat="false" ht="21.75" hidden="false" customHeight="true" outlineLevel="0" collapsed="false">
      <c r="A20" s="9" t="s">
        <v>217</v>
      </c>
      <c r="B20" s="10" t="s">
        <v>688</v>
      </c>
      <c r="C20" s="9" t="s">
        <v>674</v>
      </c>
      <c r="D20" s="9" t="n">
        <v>8.2</v>
      </c>
      <c r="E20" s="9" t="n">
        <v>7.2</v>
      </c>
      <c r="F20" s="9" t="n">
        <v>8.5</v>
      </c>
      <c r="G20" s="9" t="n">
        <v>9.9</v>
      </c>
      <c r="H20" s="9" t="n">
        <v>10</v>
      </c>
      <c r="I20" s="9" t="n">
        <v>10</v>
      </c>
      <c r="J20" s="9" t="n">
        <v>8.5</v>
      </c>
      <c r="K20" s="9" t="n">
        <v>8.1</v>
      </c>
      <c r="L20" s="9" t="n">
        <f aca="false">IFERROR(AVERAGE(D20:K20),"")</f>
        <v>8.8</v>
      </c>
    </row>
    <row r="21" customFormat="false" ht="21.75" hidden="false" customHeight="true" outlineLevel="0" collapsed="false">
      <c r="A21" s="11" t="s">
        <v>220</v>
      </c>
      <c r="B21" s="12" t="s">
        <v>457</v>
      </c>
      <c r="C21" s="11" t="s">
        <v>674</v>
      </c>
      <c r="D21" s="11" t="n">
        <v>9.8</v>
      </c>
      <c r="E21" s="11" t="n">
        <v>8.3</v>
      </c>
      <c r="F21" s="11" t="n">
        <v>8.4</v>
      </c>
      <c r="G21" s="11" t="n">
        <v>6.7</v>
      </c>
      <c r="H21" s="11" t="n">
        <v>10</v>
      </c>
      <c r="I21" s="11" t="n">
        <v>8.4</v>
      </c>
      <c r="J21" s="11" t="n">
        <v>10</v>
      </c>
      <c r="K21" s="11" t="n">
        <v>9.2</v>
      </c>
      <c r="L21" s="11" t="n">
        <f aca="false">IFERROR(AVERAGE(D21:K21),"")</f>
        <v>8.85</v>
      </c>
    </row>
    <row r="22" customFormat="false" ht="21.75" hidden="false" customHeight="true" outlineLevel="0" collapsed="false">
      <c r="A22" s="9" t="s">
        <v>224</v>
      </c>
      <c r="B22" s="10" t="s">
        <v>689</v>
      </c>
      <c r="C22" s="9" t="s">
        <v>674</v>
      </c>
      <c r="D22" s="9" t="n">
        <v>9.8</v>
      </c>
      <c r="E22" s="9" t="n">
        <v>9.8</v>
      </c>
      <c r="F22" s="9" t="n">
        <v>9.5</v>
      </c>
      <c r="G22" s="9" t="n">
        <v>10</v>
      </c>
      <c r="H22" s="9" t="n">
        <v>10</v>
      </c>
      <c r="I22" s="9" t="n">
        <v>8.1</v>
      </c>
      <c r="J22" s="9" t="n">
        <v>10</v>
      </c>
      <c r="K22" s="9" t="n">
        <v>10</v>
      </c>
      <c r="L22" s="9" t="n">
        <f aca="false">IFERROR(AVERAGE(D22:K22),"")</f>
        <v>9.65</v>
      </c>
    </row>
    <row r="23" customFormat="false" ht="21.75" hidden="false" customHeight="true" outlineLevel="0" collapsed="false">
      <c r="A23" s="11" t="s">
        <v>229</v>
      </c>
      <c r="B23" s="12" t="s">
        <v>690</v>
      </c>
      <c r="C23" s="11" t="s">
        <v>674</v>
      </c>
      <c r="D23" s="11" t="n">
        <v>7.2</v>
      </c>
      <c r="E23" s="11" t="n">
        <v>8.1</v>
      </c>
      <c r="F23" s="11" t="n">
        <v>6.2</v>
      </c>
      <c r="G23" s="11" t="n">
        <v>5.4</v>
      </c>
      <c r="H23" s="11" t="n">
        <v>7</v>
      </c>
      <c r="I23" s="11" t="n">
        <v>6</v>
      </c>
      <c r="J23" s="11" t="n">
        <v>7.5</v>
      </c>
      <c r="K23" s="11" t="n">
        <v>4.6</v>
      </c>
      <c r="L23" s="11" t="n">
        <f aca="false">IFERROR(AVERAGE(D23:K23),"")</f>
        <v>6.5</v>
      </c>
    </row>
    <row r="24" customFormat="false" ht="21.75" hidden="false" customHeight="true" outlineLevel="0" collapsed="false">
      <c r="A24" s="9" t="s">
        <v>233</v>
      </c>
      <c r="B24" s="10" t="s">
        <v>691</v>
      </c>
      <c r="C24" s="9" t="s">
        <v>674</v>
      </c>
      <c r="D24" s="9" t="n">
        <v>6.7</v>
      </c>
      <c r="E24" s="9" t="n">
        <v>8.3</v>
      </c>
      <c r="F24" s="9" t="n">
        <v>8.9</v>
      </c>
      <c r="G24" s="9" t="n">
        <v>7.2</v>
      </c>
      <c r="H24" s="9" t="n">
        <v>8</v>
      </c>
      <c r="I24" s="9" t="n">
        <v>8.2</v>
      </c>
      <c r="J24" s="9" t="n">
        <v>10</v>
      </c>
      <c r="K24" s="9" t="n">
        <v>6.6</v>
      </c>
      <c r="L24" s="9" t="n">
        <f aca="false">IFERROR(AVERAGE(D24:K24),"")</f>
        <v>7.9875</v>
      </c>
    </row>
    <row r="25" customFormat="false" ht="21.75" hidden="false" customHeight="true" outlineLevel="0" collapsed="false">
      <c r="A25" s="11" t="s">
        <v>238</v>
      </c>
      <c r="B25" s="12" t="s">
        <v>692</v>
      </c>
      <c r="C25" s="11" t="s">
        <v>674</v>
      </c>
      <c r="D25" s="11" t="n">
        <v>10</v>
      </c>
      <c r="E25" s="11" t="n">
        <v>10</v>
      </c>
      <c r="F25" s="11" t="n">
        <v>6.6</v>
      </c>
      <c r="G25" s="11" t="n">
        <v>7.7</v>
      </c>
      <c r="H25" s="11" t="n">
        <v>6.6</v>
      </c>
      <c r="I25" s="11" t="n">
        <v>7.9</v>
      </c>
      <c r="J25" s="11" t="n">
        <v>10</v>
      </c>
      <c r="K25" s="11" t="n">
        <v>7.2</v>
      </c>
      <c r="L25" s="11" t="n">
        <f aca="false">IFERROR(AVERAGE(D25:K25),"")</f>
        <v>8.25</v>
      </c>
    </row>
    <row r="26" customFormat="false" ht="21.75" hidden="false" customHeight="true" outlineLevel="0" collapsed="false">
      <c r="A26" s="9" t="s">
        <v>247</v>
      </c>
      <c r="B26" s="10" t="s">
        <v>693</v>
      </c>
      <c r="C26" s="9" t="s">
        <v>674</v>
      </c>
      <c r="D26" s="9" t="n">
        <v>8.9</v>
      </c>
      <c r="E26" s="9" t="n">
        <v>7.7</v>
      </c>
      <c r="F26" s="9" t="n">
        <v>6.4</v>
      </c>
      <c r="G26" s="9" t="n">
        <v>7.4</v>
      </c>
      <c r="H26" s="9" t="n">
        <v>7.1</v>
      </c>
      <c r="I26" s="9" t="n">
        <v>9.8</v>
      </c>
      <c r="J26" s="9" t="n">
        <v>8.5</v>
      </c>
      <c r="K26" s="9" t="n">
        <v>8</v>
      </c>
      <c r="L26" s="9" t="n">
        <f aca="false">IFERROR(AVERAGE(D26:K26),"")</f>
        <v>7.975</v>
      </c>
    </row>
    <row r="27" customFormat="false" ht="21.75" hidden="false" customHeight="true" outlineLevel="0" collapsed="false">
      <c r="A27" s="11" t="s">
        <v>254</v>
      </c>
      <c r="B27" s="12" t="s">
        <v>348</v>
      </c>
      <c r="C27" s="11" t="s">
        <v>674</v>
      </c>
      <c r="D27" s="11" t="n">
        <v>10</v>
      </c>
      <c r="E27" s="11" t="n">
        <v>8.7</v>
      </c>
      <c r="F27" s="11" t="n">
        <v>8.9</v>
      </c>
      <c r="G27" s="11" t="n">
        <v>5.4</v>
      </c>
      <c r="H27" s="11" t="n">
        <v>6.3</v>
      </c>
      <c r="I27" s="11" t="n">
        <v>9.3</v>
      </c>
      <c r="J27" s="11" t="n">
        <v>8.2</v>
      </c>
      <c r="K27" s="11" t="n">
        <v>7.7</v>
      </c>
      <c r="L27" s="11" t="n">
        <f aca="false">IFERROR(AVERAGE(D27:K27),"")</f>
        <v>8.0625</v>
      </c>
    </row>
    <row r="28" customFormat="false" ht="21.75" hidden="false" customHeight="true" outlineLevel="0" collapsed="false">
      <c r="A28" s="9" t="s">
        <v>258</v>
      </c>
      <c r="B28" s="10" t="s">
        <v>694</v>
      </c>
      <c r="C28" s="9" t="s">
        <v>674</v>
      </c>
      <c r="D28" s="9" t="n">
        <v>9.3</v>
      </c>
      <c r="E28" s="9" t="n">
        <v>9.6</v>
      </c>
      <c r="F28" s="9" t="n">
        <v>8.9</v>
      </c>
      <c r="G28" s="9" t="n">
        <v>7</v>
      </c>
      <c r="H28" s="9" t="n">
        <v>6.6</v>
      </c>
      <c r="I28" s="9" t="n">
        <v>8.7</v>
      </c>
      <c r="J28" s="9" t="n">
        <v>8.4</v>
      </c>
      <c r="K28" s="9" t="n">
        <v>9</v>
      </c>
      <c r="L28" s="9" t="n">
        <f aca="false">IFERROR(AVERAGE(D28:K28),"")</f>
        <v>8.4375</v>
      </c>
    </row>
    <row r="29" customFormat="false" ht="21.75" hidden="false" customHeight="true" outlineLevel="0" collapsed="false">
      <c r="A29" s="11" t="s">
        <v>261</v>
      </c>
      <c r="B29" s="12" t="s">
        <v>695</v>
      </c>
      <c r="C29" s="11" t="s">
        <v>674</v>
      </c>
      <c r="D29" s="11" t="n">
        <v>8.7</v>
      </c>
      <c r="E29" s="11" t="n">
        <v>7.6</v>
      </c>
      <c r="F29" s="11" t="n">
        <v>7.2</v>
      </c>
      <c r="G29" s="11" t="n">
        <v>6.5</v>
      </c>
      <c r="H29" s="11" t="n">
        <v>7.7</v>
      </c>
      <c r="I29" s="11" t="n">
        <v>10</v>
      </c>
      <c r="J29" s="11" t="n">
        <v>10</v>
      </c>
      <c r="K29" s="11" t="n">
        <v>7.4</v>
      </c>
      <c r="L29" s="11" t="n">
        <f aca="false">IFERROR(AVERAGE(D29:K29),"")</f>
        <v>8.1375</v>
      </c>
    </row>
    <row r="30" customFormat="false" ht="21.75" hidden="false" customHeight="true" outlineLevel="0" collapsed="false">
      <c r="A30" s="9" t="s">
        <v>266</v>
      </c>
      <c r="B30" s="10" t="s">
        <v>696</v>
      </c>
      <c r="C30" s="9" t="s">
        <v>674</v>
      </c>
      <c r="D30" s="9" t="n">
        <v>8.5</v>
      </c>
      <c r="E30" s="9" t="n">
        <v>9.1</v>
      </c>
      <c r="F30" s="9" t="n">
        <v>9.2</v>
      </c>
      <c r="G30" s="9" t="n">
        <v>8.1</v>
      </c>
      <c r="H30" s="9" t="n">
        <v>9</v>
      </c>
      <c r="I30" s="9" t="n">
        <v>7.8</v>
      </c>
      <c r="J30" s="9" t="n">
        <v>9.8</v>
      </c>
      <c r="K30" s="9" t="n">
        <v>8.8</v>
      </c>
      <c r="L30" s="9" t="n">
        <f aca="false">IFERROR(AVERAGE(D30:K30),"")</f>
        <v>8.7875</v>
      </c>
    </row>
    <row r="31" customFormat="false" ht="21.75" hidden="false" customHeight="true" outlineLevel="0" collapsed="false">
      <c r="A31" s="11" t="s">
        <v>269</v>
      </c>
      <c r="B31" s="12" t="s">
        <v>697</v>
      </c>
      <c r="C31" s="11" t="s">
        <v>674</v>
      </c>
      <c r="D31" s="11" t="n">
        <v>7.7</v>
      </c>
      <c r="E31" s="11" t="n">
        <v>8.5</v>
      </c>
      <c r="F31" s="11" t="n">
        <v>10</v>
      </c>
      <c r="G31" s="11" t="n">
        <v>8.5</v>
      </c>
      <c r="H31" s="11" t="n">
        <v>9.5</v>
      </c>
      <c r="I31" s="11" t="n">
        <v>7.7</v>
      </c>
      <c r="J31" s="11" t="n">
        <v>8.5</v>
      </c>
      <c r="K31" s="11" t="n">
        <v>6.6</v>
      </c>
      <c r="L31" s="11" t="n">
        <f aca="false">IFERROR(AVERAGE(D31:K31),"")</f>
        <v>8.375</v>
      </c>
    </row>
    <row r="32" customFormat="false" ht="21.75" hidden="false" customHeight="true" outlineLevel="0" collapsed="false">
      <c r="A32" s="9" t="s">
        <v>273</v>
      </c>
      <c r="B32" s="10" t="s">
        <v>698</v>
      </c>
      <c r="C32" s="9" t="s">
        <v>674</v>
      </c>
      <c r="D32" s="9" t="n">
        <v>9.2</v>
      </c>
      <c r="E32" s="9" t="n">
        <v>8.2</v>
      </c>
      <c r="F32" s="9" t="n">
        <v>7.5</v>
      </c>
      <c r="G32" s="9" t="n">
        <v>7.4</v>
      </c>
      <c r="H32" s="9" t="n">
        <v>6</v>
      </c>
      <c r="I32" s="9" t="n">
        <v>8.4</v>
      </c>
      <c r="J32" s="9" t="n">
        <v>7.7</v>
      </c>
      <c r="K32" s="9" t="n">
        <v>6.8</v>
      </c>
      <c r="L32" s="9" t="n">
        <f aca="false">IFERROR(AVERAGE(D32:K32),"")</f>
        <v>7.65</v>
      </c>
    </row>
    <row r="33" customFormat="false" ht="21.75" hidden="false" customHeight="true" outlineLevel="0" collapsed="false">
      <c r="A33" s="11" t="s">
        <v>279</v>
      </c>
      <c r="B33" s="12" t="s">
        <v>699</v>
      </c>
      <c r="C33" s="11" t="s">
        <v>674</v>
      </c>
      <c r="D33" s="11" t="n">
        <v>5.9</v>
      </c>
      <c r="E33" s="11" t="n">
        <v>6.3</v>
      </c>
      <c r="F33" s="11" t="n">
        <v>6.9</v>
      </c>
      <c r="G33" s="11" t="n">
        <v>6.8</v>
      </c>
      <c r="H33" s="11" t="n">
        <v>6.3</v>
      </c>
      <c r="I33" s="11" t="n">
        <v>6.5</v>
      </c>
      <c r="J33" s="11" t="n">
        <v>6.5</v>
      </c>
      <c r="K33" s="11" t="n">
        <v>6.3</v>
      </c>
      <c r="L33" s="11" t="n">
        <f aca="false">IFERROR(AVERAGE(D33:K33),"")</f>
        <v>6.4375</v>
      </c>
    </row>
    <row r="34" customFormat="false" ht="21.75" hidden="false" customHeight="true" outlineLevel="0" collapsed="false">
      <c r="A34" s="9" t="s">
        <v>286</v>
      </c>
      <c r="B34" s="10" t="s">
        <v>700</v>
      </c>
      <c r="C34" s="9" t="s">
        <v>701</v>
      </c>
      <c r="D34" s="9" t="n">
        <v>8.9</v>
      </c>
      <c r="E34" s="9" t="n">
        <v>8.9</v>
      </c>
      <c r="F34" s="9" t="n">
        <v>8.2</v>
      </c>
      <c r="G34" s="9" t="n">
        <v>5.9</v>
      </c>
      <c r="H34" s="9" t="n">
        <v>8.6</v>
      </c>
      <c r="I34" s="9" t="n">
        <v>5.9</v>
      </c>
      <c r="J34" s="9" t="n">
        <v>9.4</v>
      </c>
      <c r="K34" s="9" t="n">
        <v>8.3</v>
      </c>
      <c r="L34" s="9" t="n">
        <f aca="false">IFERROR(AVERAGE(D34:K34),"")</f>
        <v>8.0125</v>
      </c>
    </row>
    <row r="35" customFormat="false" ht="21.75" hidden="false" customHeight="true" outlineLevel="0" collapsed="false">
      <c r="A35" s="11" t="s">
        <v>299</v>
      </c>
      <c r="B35" s="12" t="s">
        <v>702</v>
      </c>
      <c r="C35" s="11" t="s">
        <v>701</v>
      </c>
      <c r="D35" s="11" t="n">
        <v>9.2</v>
      </c>
      <c r="E35" s="11" t="n">
        <v>9.5</v>
      </c>
      <c r="F35" s="11" t="n">
        <v>5.3</v>
      </c>
      <c r="G35" s="11" t="n">
        <v>7.2</v>
      </c>
      <c r="H35" s="11" t="n">
        <v>7</v>
      </c>
      <c r="I35" s="11" t="n">
        <v>9.6</v>
      </c>
      <c r="J35" s="11" t="n">
        <v>8.1</v>
      </c>
      <c r="K35" s="11" t="n">
        <v>8.9</v>
      </c>
      <c r="L35" s="11" t="n">
        <f aca="false">IFERROR(AVERAGE(D35:K35),"")</f>
        <v>8.1</v>
      </c>
    </row>
    <row r="36" customFormat="false" ht="21.75" hidden="false" customHeight="true" outlineLevel="0" collapsed="false">
      <c r="A36" s="9" t="s">
        <v>305</v>
      </c>
      <c r="B36" s="10" t="s">
        <v>703</v>
      </c>
      <c r="C36" s="9" t="s">
        <v>701</v>
      </c>
      <c r="D36" s="9" t="n">
        <v>5.8</v>
      </c>
      <c r="E36" s="9" t="n">
        <v>7.6</v>
      </c>
      <c r="F36" s="9" t="n">
        <v>9.3</v>
      </c>
      <c r="G36" s="9" t="n">
        <v>10</v>
      </c>
      <c r="H36" s="9" t="n">
        <v>10</v>
      </c>
      <c r="I36" s="9" t="n">
        <v>7.8</v>
      </c>
      <c r="J36" s="9" t="n">
        <v>9.8</v>
      </c>
      <c r="K36" s="9" t="n">
        <v>7.9</v>
      </c>
      <c r="L36" s="9" t="n">
        <f aca="false">IFERROR(AVERAGE(D36:K36),"")</f>
        <v>8.525</v>
      </c>
    </row>
    <row r="37" customFormat="false" ht="21.75" hidden="false" customHeight="true" outlineLevel="0" collapsed="false">
      <c r="A37" s="11" t="s">
        <v>317</v>
      </c>
      <c r="B37" s="12" t="s">
        <v>704</v>
      </c>
      <c r="C37" s="11" t="s">
        <v>701</v>
      </c>
      <c r="D37" s="11" t="n">
        <v>9</v>
      </c>
      <c r="E37" s="11" t="n">
        <v>9.4</v>
      </c>
      <c r="F37" s="11" t="n">
        <v>7.8</v>
      </c>
      <c r="G37" s="11" t="n">
        <v>7.9</v>
      </c>
      <c r="H37" s="11" t="n">
        <v>8.9</v>
      </c>
      <c r="I37" s="11" t="n">
        <v>8.3</v>
      </c>
      <c r="J37" s="11" t="n">
        <v>7.1</v>
      </c>
      <c r="K37" s="11" t="n">
        <v>7.8</v>
      </c>
      <c r="L37" s="11" t="n">
        <f aca="false">IFERROR(AVERAGE(D37:K37),"")</f>
        <v>8.275</v>
      </c>
    </row>
    <row r="38" customFormat="false" ht="21.75" hidden="false" customHeight="true" outlineLevel="0" collapsed="false">
      <c r="A38" s="9" t="s">
        <v>329</v>
      </c>
      <c r="B38" s="10" t="s">
        <v>705</v>
      </c>
      <c r="C38" s="9" t="s">
        <v>701</v>
      </c>
      <c r="D38" s="9" t="n">
        <v>7.2</v>
      </c>
      <c r="E38" s="9" t="n">
        <v>5.7</v>
      </c>
      <c r="F38" s="9" t="n">
        <v>7.3</v>
      </c>
      <c r="G38" s="9" t="n">
        <v>6.4</v>
      </c>
      <c r="H38" s="9" t="n">
        <v>6</v>
      </c>
      <c r="I38" s="9" t="n">
        <v>6.5</v>
      </c>
      <c r="J38" s="9" t="n">
        <v>8</v>
      </c>
      <c r="K38" s="9" t="n">
        <v>8.8</v>
      </c>
      <c r="L38" s="9" t="n">
        <f aca="false">IFERROR(AVERAGE(D38:K38),"")</f>
        <v>6.9875</v>
      </c>
    </row>
    <row r="39" customFormat="false" ht="21.75" hidden="false" customHeight="true" outlineLevel="0" collapsed="false">
      <c r="A39" s="11" t="s">
        <v>339</v>
      </c>
      <c r="B39" s="12" t="s">
        <v>706</v>
      </c>
      <c r="C39" s="11" t="s">
        <v>701</v>
      </c>
      <c r="D39" s="11" t="n">
        <v>7.9</v>
      </c>
      <c r="E39" s="11" t="n">
        <v>6.3</v>
      </c>
      <c r="F39" s="11" t="n">
        <v>7.5</v>
      </c>
      <c r="G39" s="11" t="n">
        <v>6.9</v>
      </c>
      <c r="H39" s="11" t="n">
        <v>9.9</v>
      </c>
      <c r="I39" s="11" t="n">
        <v>5.4</v>
      </c>
      <c r="J39" s="11" t="n">
        <v>7.1</v>
      </c>
      <c r="K39" s="11" t="n">
        <v>6.4</v>
      </c>
      <c r="L39" s="11" t="n">
        <f aca="false">IFERROR(AVERAGE(D39:K39),"")</f>
        <v>7.175</v>
      </c>
    </row>
    <row r="40" customFormat="false" ht="21.75" hidden="false" customHeight="true" outlineLevel="0" collapsed="false">
      <c r="A40" s="9" t="s">
        <v>347</v>
      </c>
      <c r="B40" s="10" t="s">
        <v>707</v>
      </c>
      <c r="C40" s="9" t="s">
        <v>701</v>
      </c>
      <c r="D40" s="9" t="n">
        <v>7.8</v>
      </c>
      <c r="E40" s="9" t="n">
        <v>6.7</v>
      </c>
      <c r="F40" s="9" t="n">
        <v>8.5</v>
      </c>
      <c r="G40" s="9" t="n">
        <v>6.4</v>
      </c>
      <c r="H40" s="9" t="n">
        <v>6.5</v>
      </c>
      <c r="I40" s="9" t="n">
        <v>4.7</v>
      </c>
      <c r="J40" s="9" t="n">
        <v>7</v>
      </c>
      <c r="K40" s="9" t="n">
        <v>6.8</v>
      </c>
      <c r="L40" s="9" t="n">
        <f aca="false">IFERROR(AVERAGE(D40:K40),"")</f>
        <v>6.8</v>
      </c>
    </row>
    <row r="41" customFormat="false" ht="21.75" hidden="false" customHeight="true" outlineLevel="0" collapsed="false">
      <c r="A41" s="11" t="s">
        <v>350</v>
      </c>
      <c r="B41" s="12" t="s">
        <v>708</v>
      </c>
      <c r="C41" s="11" t="s">
        <v>701</v>
      </c>
      <c r="D41" s="11" t="n">
        <v>7.4</v>
      </c>
      <c r="E41" s="11" t="n">
        <v>8</v>
      </c>
      <c r="F41" s="11" t="n">
        <v>7.6</v>
      </c>
      <c r="G41" s="11" t="n">
        <v>5.8</v>
      </c>
      <c r="H41" s="11" t="n">
        <v>7.8</v>
      </c>
      <c r="I41" s="11" t="n">
        <v>5.9</v>
      </c>
      <c r="J41" s="11" t="n">
        <v>7.4</v>
      </c>
      <c r="K41" s="11" t="n">
        <v>5.8</v>
      </c>
      <c r="L41" s="11" t="n">
        <f aca="false">IFERROR(AVERAGE(D41:K41),"")</f>
        <v>6.9625</v>
      </c>
    </row>
    <row r="42" customFormat="false" ht="21.75" hidden="false" customHeight="true" outlineLevel="0" collapsed="false">
      <c r="A42" s="9" t="s">
        <v>352</v>
      </c>
      <c r="B42" s="10" t="s">
        <v>709</v>
      </c>
      <c r="C42" s="9" t="s">
        <v>701</v>
      </c>
      <c r="D42" s="9" t="n">
        <v>9.9</v>
      </c>
      <c r="E42" s="9" t="n">
        <v>8.7</v>
      </c>
      <c r="F42" s="9" t="n">
        <v>5</v>
      </c>
      <c r="G42" s="9" t="n">
        <v>8</v>
      </c>
      <c r="H42" s="9" t="n">
        <v>9.6</v>
      </c>
      <c r="I42" s="9" t="n">
        <v>8.7</v>
      </c>
      <c r="J42" s="9" t="n">
        <v>9</v>
      </c>
      <c r="K42" s="9" t="n">
        <v>6.9</v>
      </c>
      <c r="L42" s="9" t="n">
        <f aca="false">IFERROR(AVERAGE(D42:K42),"")</f>
        <v>8.225</v>
      </c>
    </row>
    <row r="43" customFormat="false" ht="21.75" hidden="false" customHeight="true" outlineLevel="0" collapsed="false">
      <c r="A43" s="11" t="s">
        <v>359</v>
      </c>
      <c r="B43" s="12" t="s">
        <v>710</v>
      </c>
      <c r="C43" s="11" t="s">
        <v>701</v>
      </c>
      <c r="D43" s="11" t="n">
        <v>9.6</v>
      </c>
      <c r="E43" s="11" t="n">
        <v>6.1</v>
      </c>
      <c r="F43" s="11" t="n">
        <v>7.4</v>
      </c>
      <c r="G43" s="11" t="n">
        <v>10</v>
      </c>
      <c r="H43" s="11" t="n">
        <v>10</v>
      </c>
      <c r="I43" s="11" t="n">
        <v>9.4</v>
      </c>
      <c r="J43" s="11" t="n">
        <v>9.9</v>
      </c>
      <c r="K43" s="11" t="n">
        <v>9.4</v>
      </c>
      <c r="L43" s="11" t="n">
        <f aca="false">IFERROR(AVERAGE(D43:K43),"")</f>
        <v>8.975</v>
      </c>
    </row>
    <row r="44" customFormat="false" ht="21.75" hidden="false" customHeight="true" outlineLevel="0" collapsed="false">
      <c r="A44" s="9" t="s">
        <v>364</v>
      </c>
      <c r="B44" s="10" t="s">
        <v>711</v>
      </c>
      <c r="C44" s="9" t="s">
        <v>701</v>
      </c>
      <c r="D44" s="9" t="n">
        <v>5.1</v>
      </c>
      <c r="E44" s="9" t="n">
        <v>9.4</v>
      </c>
      <c r="F44" s="9" t="n">
        <v>5.4</v>
      </c>
      <c r="G44" s="9" t="n">
        <v>7.6</v>
      </c>
      <c r="H44" s="9" t="n">
        <v>6.1</v>
      </c>
      <c r="I44" s="9" t="n">
        <v>6.2</v>
      </c>
      <c r="J44" s="9" t="n">
        <v>5.8</v>
      </c>
      <c r="K44" s="9" t="n">
        <v>5</v>
      </c>
      <c r="L44" s="9" t="n">
        <f aca="false">IFERROR(AVERAGE(D44:K44),"")</f>
        <v>6.325</v>
      </c>
    </row>
    <row r="45" customFormat="false" ht="21.75" hidden="false" customHeight="true" outlineLevel="0" collapsed="false">
      <c r="A45" s="11" t="s">
        <v>368</v>
      </c>
      <c r="B45" s="12" t="s">
        <v>712</v>
      </c>
      <c r="C45" s="11" t="s">
        <v>701</v>
      </c>
      <c r="D45" s="11" t="n">
        <v>9.1</v>
      </c>
      <c r="E45" s="11" t="n">
        <v>8.6</v>
      </c>
      <c r="F45" s="11" t="n">
        <v>10</v>
      </c>
      <c r="G45" s="11" t="n">
        <v>10</v>
      </c>
      <c r="H45" s="11" t="n">
        <v>7.3</v>
      </c>
      <c r="I45" s="11" t="n">
        <v>7.7</v>
      </c>
      <c r="J45" s="11" t="n">
        <v>8.3</v>
      </c>
      <c r="K45" s="11" t="n">
        <v>10</v>
      </c>
      <c r="L45" s="11" t="n">
        <f aca="false">IFERROR(AVERAGE(D45:K45),"")</f>
        <v>8.875</v>
      </c>
    </row>
    <row r="46" customFormat="false" ht="21.75" hidden="false" customHeight="true" outlineLevel="0" collapsed="false">
      <c r="A46" s="9" t="s">
        <v>372</v>
      </c>
      <c r="B46" s="10" t="s">
        <v>482</v>
      </c>
      <c r="C46" s="9" t="s">
        <v>701</v>
      </c>
      <c r="D46" s="9" t="n">
        <v>10</v>
      </c>
      <c r="E46" s="9" t="n">
        <v>9.1</v>
      </c>
      <c r="F46" s="9" t="n">
        <v>8.4</v>
      </c>
      <c r="G46" s="9" t="n">
        <v>9.5</v>
      </c>
      <c r="H46" s="9" t="n">
        <v>10</v>
      </c>
      <c r="I46" s="9" t="n">
        <v>9.8</v>
      </c>
      <c r="J46" s="9" t="n">
        <v>7.1</v>
      </c>
      <c r="K46" s="9" t="n">
        <v>10</v>
      </c>
      <c r="L46" s="9" t="n">
        <f aca="false">IFERROR(AVERAGE(D46:K46),"")</f>
        <v>9.2375</v>
      </c>
    </row>
    <row r="47" customFormat="false" ht="21.75" hidden="false" customHeight="true" outlineLevel="0" collapsed="false">
      <c r="A47" s="11" t="s">
        <v>375</v>
      </c>
      <c r="B47" s="12" t="s">
        <v>713</v>
      </c>
      <c r="C47" s="11" t="s">
        <v>701</v>
      </c>
      <c r="D47" s="11" t="n">
        <v>8.5</v>
      </c>
      <c r="E47" s="11" t="n">
        <v>9.1</v>
      </c>
      <c r="F47" s="11" t="n">
        <v>7.2</v>
      </c>
      <c r="G47" s="11" t="n">
        <v>8</v>
      </c>
      <c r="H47" s="11" t="n">
        <v>5.9</v>
      </c>
      <c r="I47" s="11" t="n">
        <v>7.8</v>
      </c>
      <c r="J47" s="11" t="n">
        <v>8.3</v>
      </c>
      <c r="K47" s="11" t="n">
        <v>8.7</v>
      </c>
      <c r="L47" s="11" t="n">
        <f aca="false">IFERROR(AVERAGE(D47:K47),"")</f>
        <v>7.9375</v>
      </c>
    </row>
    <row r="48" customFormat="false" ht="21.75" hidden="false" customHeight="true" outlineLevel="0" collapsed="false">
      <c r="A48" s="9" t="s">
        <v>378</v>
      </c>
      <c r="B48" s="10" t="s">
        <v>714</v>
      </c>
      <c r="C48" s="9" t="s">
        <v>701</v>
      </c>
      <c r="D48" s="9" t="n">
        <v>6.5</v>
      </c>
      <c r="E48" s="9" t="n">
        <v>7.5</v>
      </c>
      <c r="F48" s="9" t="n">
        <v>9.1</v>
      </c>
      <c r="G48" s="9" t="n">
        <v>5.3</v>
      </c>
      <c r="H48" s="9" t="n">
        <v>8.8</v>
      </c>
      <c r="I48" s="9" t="n">
        <v>6.4</v>
      </c>
      <c r="J48" s="9" t="n">
        <v>8</v>
      </c>
      <c r="K48" s="9" t="n">
        <v>7.5</v>
      </c>
      <c r="L48" s="9" t="n">
        <f aca="false">IFERROR(AVERAGE(D48:K48),"")</f>
        <v>7.3875</v>
      </c>
    </row>
    <row r="49" customFormat="false" ht="21.75" hidden="false" customHeight="true" outlineLevel="0" collapsed="false">
      <c r="A49" s="11" t="s">
        <v>381</v>
      </c>
      <c r="B49" s="12" t="s">
        <v>715</v>
      </c>
      <c r="C49" s="11" t="s">
        <v>701</v>
      </c>
      <c r="D49" s="11" t="n">
        <v>8.7</v>
      </c>
      <c r="E49" s="11" t="n">
        <v>9.6</v>
      </c>
      <c r="F49" s="11" t="n">
        <v>7.8</v>
      </c>
      <c r="G49" s="11" t="n">
        <v>8</v>
      </c>
      <c r="H49" s="11" t="n">
        <v>6.1</v>
      </c>
      <c r="I49" s="11" t="n">
        <v>8.8</v>
      </c>
      <c r="J49" s="11" t="n">
        <v>7.9</v>
      </c>
      <c r="K49" s="11" t="n">
        <v>7.8</v>
      </c>
      <c r="L49" s="11" t="n">
        <f aca="false">IFERROR(AVERAGE(D49:K49),"")</f>
        <v>8.0875</v>
      </c>
    </row>
    <row r="50" customFormat="false" ht="21.75" hidden="false" customHeight="true" outlineLevel="0" collapsed="false">
      <c r="A50" s="9" t="s">
        <v>385</v>
      </c>
      <c r="B50" s="10" t="s">
        <v>716</v>
      </c>
      <c r="C50" s="9" t="s">
        <v>701</v>
      </c>
      <c r="D50" s="9" t="n">
        <v>9.2</v>
      </c>
      <c r="E50" s="9" t="n">
        <v>10</v>
      </c>
      <c r="F50" s="9" t="n">
        <v>7.9</v>
      </c>
      <c r="G50" s="9" t="n">
        <v>7.7</v>
      </c>
      <c r="H50" s="9" t="n">
        <v>9.6</v>
      </c>
      <c r="I50" s="9" t="n">
        <v>9.7</v>
      </c>
      <c r="J50" s="9" t="n">
        <v>7.5</v>
      </c>
      <c r="K50" s="9" t="n">
        <v>10</v>
      </c>
      <c r="L50" s="9" t="n">
        <f aca="false">IFERROR(AVERAGE(D50:K50),"")</f>
        <v>8.95</v>
      </c>
    </row>
    <row r="51" customFormat="false" ht="21.75" hidden="false" customHeight="true" outlineLevel="0" collapsed="false">
      <c r="A51" s="11" t="s">
        <v>388</v>
      </c>
      <c r="B51" s="12" t="s">
        <v>596</v>
      </c>
      <c r="C51" s="11" t="s">
        <v>701</v>
      </c>
      <c r="D51" s="11" t="n">
        <v>6.1</v>
      </c>
      <c r="E51" s="11" t="n">
        <v>8.7</v>
      </c>
      <c r="F51" s="11" t="n">
        <v>7.4</v>
      </c>
      <c r="G51" s="11" t="n">
        <v>5.8</v>
      </c>
      <c r="H51" s="11" t="n">
        <v>4.8</v>
      </c>
      <c r="I51" s="11" t="n">
        <v>8.5</v>
      </c>
      <c r="J51" s="11" t="n">
        <v>9.5</v>
      </c>
      <c r="K51" s="11" t="n">
        <v>4</v>
      </c>
      <c r="L51" s="11" t="n">
        <f aca="false">IFERROR(AVERAGE(D51:K51),"")</f>
        <v>6.85</v>
      </c>
    </row>
    <row r="52" customFormat="false" ht="21.75" hidden="false" customHeight="true" outlineLevel="0" collapsed="false">
      <c r="A52" s="9" t="s">
        <v>391</v>
      </c>
      <c r="B52" s="10" t="s">
        <v>499</v>
      </c>
      <c r="C52" s="9" t="s">
        <v>701</v>
      </c>
      <c r="D52" s="9" t="n">
        <v>9.9</v>
      </c>
      <c r="E52" s="9" t="n">
        <v>9.9</v>
      </c>
      <c r="F52" s="9" t="n">
        <v>9.8</v>
      </c>
      <c r="G52" s="9" t="n">
        <v>8.5</v>
      </c>
      <c r="H52" s="9" t="n">
        <v>7.5</v>
      </c>
      <c r="I52" s="9" t="n">
        <v>10</v>
      </c>
      <c r="J52" s="9" t="n">
        <v>9.5</v>
      </c>
      <c r="K52" s="9" t="n">
        <v>9.3</v>
      </c>
      <c r="L52" s="9" t="n">
        <f aca="false">IFERROR(AVERAGE(D52:K52),"")</f>
        <v>9.3</v>
      </c>
    </row>
    <row r="53" customFormat="false" ht="21.75" hidden="false" customHeight="true" outlineLevel="0" collapsed="false">
      <c r="A53" s="11" t="s">
        <v>395</v>
      </c>
      <c r="B53" s="12" t="s">
        <v>717</v>
      </c>
      <c r="C53" s="11" t="s">
        <v>701</v>
      </c>
      <c r="D53" s="11" t="n">
        <v>6.4</v>
      </c>
      <c r="E53" s="11" t="n">
        <v>5.9</v>
      </c>
      <c r="F53" s="11" t="n">
        <v>6.2</v>
      </c>
      <c r="G53" s="11" t="n">
        <v>6.4</v>
      </c>
      <c r="H53" s="11" t="n">
        <v>4.1</v>
      </c>
      <c r="I53" s="11" t="n">
        <v>8.2</v>
      </c>
      <c r="J53" s="11" t="n">
        <v>6.9</v>
      </c>
      <c r="K53" s="11" t="n">
        <v>6.9</v>
      </c>
      <c r="L53" s="11" t="n">
        <f aca="false">IFERROR(AVERAGE(D53:K53),"")</f>
        <v>6.375</v>
      </c>
    </row>
    <row r="54" customFormat="false" ht="21.75" hidden="false" customHeight="true" outlineLevel="0" collapsed="false">
      <c r="A54" s="9" t="s">
        <v>398</v>
      </c>
      <c r="B54" s="10" t="s">
        <v>411</v>
      </c>
      <c r="C54" s="9" t="s">
        <v>701</v>
      </c>
      <c r="D54" s="9" t="n">
        <v>7.2</v>
      </c>
      <c r="E54" s="9" t="n">
        <v>8.3</v>
      </c>
      <c r="F54" s="9" t="n">
        <v>5.8</v>
      </c>
      <c r="G54" s="9" t="n">
        <v>7.1</v>
      </c>
      <c r="H54" s="9" t="n">
        <v>3</v>
      </c>
      <c r="I54" s="9" t="n">
        <v>7.5</v>
      </c>
      <c r="J54" s="9" t="n">
        <v>7.2</v>
      </c>
      <c r="K54" s="9" t="n">
        <v>8.4</v>
      </c>
      <c r="L54" s="9" t="n">
        <f aca="false">IFERROR(AVERAGE(D54:K54),"")</f>
        <v>6.8125</v>
      </c>
    </row>
    <row r="55" customFormat="false" ht="21.75" hidden="false" customHeight="true" outlineLevel="0" collapsed="false">
      <c r="A55" s="11" t="s">
        <v>403</v>
      </c>
      <c r="B55" s="12" t="s">
        <v>718</v>
      </c>
      <c r="C55" s="11" t="s">
        <v>701</v>
      </c>
      <c r="D55" s="11" t="n">
        <v>8.3</v>
      </c>
      <c r="E55" s="11" t="n">
        <v>9.5</v>
      </c>
      <c r="F55" s="11" t="n">
        <v>8.2</v>
      </c>
      <c r="G55" s="11" t="n">
        <v>6.7</v>
      </c>
      <c r="H55" s="11" t="n">
        <v>9.8</v>
      </c>
      <c r="I55" s="11" t="n">
        <v>8</v>
      </c>
      <c r="J55" s="11" t="n">
        <v>6.8</v>
      </c>
      <c r="K55" s="11" t="n">
        <v>9.5</v>
      </c>
      <c r="L55" s="11" t="n">
        <f aca="false">IFERROR(AVERAGE(D55:K55),"")</f>
        <v>8.35</v>
      </c>
    </row>
    <row r="56" customFormat="false" ht="21.75" hidden="false" customHeight="true" outlineLevel="0" collapsed="false">
      <c r="A56" s="9" t="s">
        <v>405</v>
      </c>
      <c r="B56" s="10" t="s">
        <v>706</v>
      </c>
      <c r="C56" s="9" t="s">
        <v>701</v>
      </c>
      <c r="D56" s="9" t="n">
        <v>8.8</v>
      </c>
      <c r="E56" s="9" t="n">
        <v>10</v>
      </c>
      <c r="F56" s="9" t="n">
        <v>7</v>
      </c>
      <c r="G56" s="9" t="n">
        <v>5.5</v>
      </c>
      <c r="H56" s="9" t="n">
        <v>10</v>
      </c>
      <c r="I56" s="9" t="n">
        <v>10</v>
      </c>
      <c r="J56" s="9" t="n">
        <v>7.8</v>
      </c>
      <c r="K56" s="9" t="n">
        <v>8.2</v>
      </c>
      <c r="L56" s="9" t="n">
        <f aca="false">IFERROR(AVERAGE(D56:K56),"")</f>
        <v>8.4125</v>
      </c>
    </row>
    <row r="57" customFormat="false" ht="21.75" hidden="false" customHeight="true" outlineLevel="0" collapsed="false">
      <c r="A57" s="11" t="s">
        <v>408</v>
      </c>
      <c r="B57" s="12" t="s">
        <v>719</v>
      </c>
      <c r="C57" s="11" t="s">
        <v>701</v>
      </c>
      <c r="D57" s="11" t="n">
        <v>4.2</v>
      </c>
      <c r="E57" s="11" t="n">
        <v>7.1</v>
      </c>
      <c r="F57" s="11" t="n">
        <v>6.5</v>
      </c>
      <c r="G57" s="11" t="n">
        <v>5.4</v>
      </c>
      <c r="H57" s="11" t="n">
        <v>6.9</v>
      </c>
      <c r="I57" s="11" t="n">
        <v>5.5</v>
      </c>
      <c r="J57" s="11" t="n">
        <v>8.6</v>
      </c>
      <c r="K57" s="11" t="n">
        <v>5.6</v>
      </c>
      <c r="L57" s="11" t="n">
        <f aca="false">IFERROR(AVERAGE(D57:K57),"")</f>
        <v>6.225</v>
      </c>
    </row>
    <row r="58" customFormat="false" ht="21.75" hidden="false" customHeight="true" outlineLevel="0" collapsed="false">
      <c r="A58" s="9" t="s">
        <v>410</v>
      </c>
      <c r="B58" s="10" t="s">
        <v>720</v>
      </c>
      <c r="C58" s="9" t="s">
        <v>701</v>
      </c>
      <c r="D58" s="9" t="n">
        <v>8.9</v>
      </c>
      <c r="E58" s="9" t="n">
        <v>8.7</v>
      </c>
      <c r="F58" s="9" t="n">
        <v>9.2</v>
      </c>
      <c r="G58" s="9" t="n">
        <v>7.1</v>
      </c>
      <c r="H58" s="9" t="n">
        <v>7.7</v>
      </c>
      <c r="I58" s="9" t="n">
        <v>10</v>
      </c>
      <c r="J58" s="9" t="n">
        <v>10</v>
      </c>
      <c r="K58" s="9" t="n">
        <v>10</v>
      </c>
      <c r="L58" s="9" t="n">
        <f aca="false">IFERROR(AVERAGE(D58:K58),"")</f>
        <v>8.95</v>
      </c>
    </row>
    <row r="59" customFormat="false" ht="21.75" hidden="false" customHeight="true" outlineLevel="0" collapsed="false">
      <c r="A59" s="11" t="s">
        <v>412</v>
      </c>
      <c r="B59" s="12" t="s">
        <v>721</v>
      </c>
      <c r="C59" s="11" t="s">
        <v>701</v>
      </c>
      <c r="D59" s="11" t="n">
        <v>8.7</v>
      </c>
      <c r="E59" s="11" t="n">
        <v>8</v>
      </c>
      <c r="F59" s="11" t="n">
        <v>9.1</v>
      </c>
      <c r="G59" s="11" t="n">
        <v>5.7</v>
      </c>
      <c r="H59" s="11" t="n">
        <v>9.1</v>
      </c>
      <c r="I59" s="11" t="n">
        <v>9.3</v>
      </c>
      <c r="J59" s="11" t="n">
        <v>8.4</v>
      </c>
      <c r="K59" s="11" t="n">
        <v>10</v>
      </c>
      <c r="L59" s="11" t="n">
        <f aca="false">IFERROR(AVERAGE(D59:K59),"")</f>
        <v>8.5375</v>
      </c>
    </row>
    <row r="60" customFormat="false" ht="21.75" hidden="false" customHeight="true" outlineLevel="0" collapsed="false">
      <c r="A60" s="9" t="s">
        <v>414</v>
      </c>
      <c r="B60" s="10" t="s">
        <v>722</v>
      </c>
      <c r="C60" s="9" t="s">
        <v>701</v>
      </c>
      <c r="D60" s="9" t="n">
        <v>7.1</v>
      </c>
      <c r="E60" s="9" t="n">
        <v>8.7</v>
      </c>
      <c r="F60" s="9" t="n">
        <v>6.3</v>
      </c>
      <c r="G60" s="9" t="n">
        <v>7</v>
      </c>
      <c r="H60" s="9" t="n">
        <v>4.8</v>
      </c>
      <c r="I60" s="9" t="n">
        <v>9.7</v>
      </c>
      <c r="J60" s="9" t="n">
        <v>7.8</v>
      </c>
      <c r="K60" s="9" t="n">
        <v>7.3</v>
      </c>
      <c r="L60" s="9" t="n">
        <f aca="false">IFERROR(AVERAGE(D60:K60),"")</f>
        <v>7.3375</v>
      </c>
    </row>
    <row r="61" customFormat="false" ht="21.75" hidden="false" customHeight="true" outlineLevel="0" collapsed="false">
      <c r="A61" s="11" t="s">
        <v>417</v>
      </c>
      <c r="B61" s="12" t="s">
        <v>723</v>
      </c>
      <c r="C61" s="11" t="s">
        <v>701</v>
      </c>
      <c r="D61" s="11" t="n">
        <v>7.8</v>
      </c>
      <c r="E61" s="11" t="n">
        <v>9</v>
      </c>
      <c r="F61" s="11" t="n">
        <v>9.2</v>
      </c>
      <c r="G61" s="11" t="n">
        <v>8.8</v>
      </c>
      <c r="H61" s="11" t="n">
        <v>8.7</v>
      </c>
      <c r="I61" s="11" t="n">
        <v>8.2</v>
      </c>
      <c r="J61" s="11" t="n">
        <v>9</v>
      </c>
      <c r="K61" s="11" t="n">
        <v>7.6</v>
      </c>
      <c r="L61" s="11" t="n">
        <f aca="false">IFERROR(AVERAGE(D61:K61),"")</f>
        <v>8.5375</v>
      </c>
    </row>
    <row r="62" customFormat="false" ht="21.75" hidden="false" customHeight="true" outlineLevel="0" collapsed="false">
      <c r="A62" s="9" t="s">
        <v>420</v>
      </c>
      <c r="B62" s="10" t="s">
        <v>724</v>
      </c>
      <c r="C62" s="9" t="s">
        <v>701</v>
      </c>
      <c r="D62" s="9" t="n">
        <v>7.5</v>
      </c>
      <c r="E62" s="9" t="n">
        <v>10</v>
      </c>
      <c r="F62" s="9" t="n">
        <v>8.6</v>
      </c>
      <c r="G62" s="9" t="n">
        <v>9.3</v>
      </c>
      <c r="H62" s="9" t="n">
        <v>5.9</v>
      </c>
      <c r="I62" s="9" t="n">
        <v>8.5</v>
      </c>
      <c r="J62" s="9" t="n">
        <v>8.1</v>
      </c>
      <c r="K62" s="9" t="n">
        <v>6.8</v>
      </c>
      <c r="L62" s="9" t="n">
        <f aca="false">IFERROR(AVERAGE(D62:K62),"")</f>
        <v>8.0875</v>
      </c>
    </row>
    <row r="63" customFormat="false" ht="21.75" hidden="false" customHeight="true" outlineLevel="0" collapsed="false">
      <c r="A63" s="11" t="s">
        <v>422</v>
      </c>
      <c r="B63" s="12" t="s">
        <v>725</v>
      </c>
      <c r="C63" s="11" t="s">
        <v>701</v>
      </c>
      <c r="D63" s="11" t="n">
        <v>6.2</v>
      </c>
      <c r="E63" s="11" t="n">
        <v>9.3</v>
      </c>
      <c r="F63" s="11" t="n">
        <v>8.8</v>
      </c>
      <c r="G63" s="11" t="n">
        <v>8.3</v>
      </c>
      <c r="H63" s="11" t="n">
        <v>4.9</v>
      </c>
      <c r="I63" s="11" t="n">
        <v>5.2</v>
      </c>
      <c r="J63" s="11" t="n">
        <v>9.2</v>
      </c>
      <c r="K63" s="11" t="n">
        <v>9.5</v>
      </c>
      <c r="L63" s="11" t="n">
        <f aca="false">IFERROR(AVERAGE(D63:K63),"")</f>
        <v>7.675</v>
      </c>
    </row>
    <row r="64" customFormat="false" ht="21.75" hidden="false" customHeight="true" outlineLevel="0" collapsed="false">
      <c r="A64" s="9" t="s">
        <v>429</v>
      </c>
      <c r="B64" s="10" t="s">
        <v>726</v>
      </c>
      <c r="C64" s="9" t="s">
        <v>727</v>
      </c>
      <c r="D64" s="9" t="n">
        <v>8.7</v>
      </c>
      <c r="E64" s="9" t="n">
        <v>9.6</v>
      </c>
      <c r="F64" s="9" t="n">
        <v>8.3</v>
      </c>
      <c r="G64" s="9" t="n">
        <v>8.9</v>
      </c>
      <c r="H64" s="9" t="n">
        <v>8</v>
      </c>
      <c r="I64" s="9" t="n">
        <v>8.2</v>
      </c>
      <c r="J64" s="9" t="n">
        <v>8.4</v>
      </c>
      <c r="K64" s="9" t="n">
        <v>8.4</v>
      </c>
      <c r="L64" s="9" t="n">
        <f aca="false">IFERROR(AVERAGE(D64:K64),"")</f>
        <v>8.5625</v>
      </c>
    </row>
    <row r="65" customFormat="false" ht="21.75" hidden="false" customHeight="true" outlineLevel="0" collapsed="false">
      <c r="A65" s="11" t="s">
        <v>439</v>
      </c>
      <c r="B65" s="12" t="s">
        <v>728</v>
      </c>
      <c r="C65" s="11" t="s">
        <v>727</v>
      </c>
      <c r="D65" s="11" t="n">
        <v>8.4</v>
      </c>
      <c r="E65" s="11" t="n">
        <v>8.1</v>
      </c>
      <c r="F65" s="11" t="n">
        <v>10</v>
      </c>
      <c r="G65" s="11" t="n">
        <v>9.1</v>
      </c>
      <c r="H65" s="11" t="n">
        <v>9.8</v>
      </c>
      <c r="I65" s="11" t="n">
        <v>10</v>
      </c>
      <c r="J65" s="11" t="n">
        <v>7.1</v>
      </c>
      <c r="K65" s="11" t="n">
        <v>10</v>
      </c>
      <c r="L65" s="11" t="n">
        <f aca="false">IFERROR(AVERAGE(D65:K65),"")</f>
        <v>9.0625</v>
      </c>
    </row>
    <row r="66" customFormat="false" ht="21.75" hidden="false" customHeight="true" outlineLevel="0" collapsed="false">
      <c r="A66" s="9" t="s">
        <v>448</v>
      </c>
      <c r="B66" s="10" t="s">
        <v>729</v>
      </c>
      <c r="C66" s="9" t="s">
        <v>727</v>
      </c>
      <c r="D66" s="9" t="n">
        <v>7.4</v>
      </c>
      <c r="E66" s="9" t="n">
        <v>9.1</v>
      </c>
      <c r="F66" s="9" t="n">
        <v>7.2</v>
      </c>
      <c r="G66" s="9" t="n">
        <v>6.4</v>
      </c>
      <c r="H66" s="9" t="n">
        <v>8.5</v>
      </c>
      <c r="I66" s="9" t="n">
        <v>8.1</v>
      </c>
      <c r="J66" s="9" t="n">
        <v>7.8</v>
      </c>
      <c r="K66" s="9" t="n">
        <v>7.5</v>
      </c>
      <c r="L66" s="9" t="n">
        <f aca="false">IFERROR(AVERAGE(D66:K66),"")</f>
        <v>7.75</v>
      </c>
    </row>
    <row r="67" customFormat="false" ht="21.75" hidden="false" customHeight="true" outlineLevel="0" collapsed="false">
      <c r="A67" s="11" t="s">
        <v>456</v>
      </c>
      <c r="B67" s="12" t="s">
        <v>730</v>
      </c>
      <c r="C67" s="11" t="s">
        <v>727</v>
      </c>
      <c r="D67" s="11" t="n">
        <v>7.1</v>
      </c>
      <c r="E67" s="11" t="n">
        <v>9</v>
      </c>
      <c r="F67" s="11" t="n">
        <v>9.2</v>
      </c>
      <c r="G67" s="11" t="n">
        <v>6.9</v>
      </c>
      <c r="H67" s="11" t="n">
        <v>6.8</v>
      </c>
      <c r="I67" s="11" t="n">
        <v>7.1</v>
      </c>
      <c r="J67" s="11" t="n">
        <v>7.2</v>
      </c>
      <c r="K67" s="11" t="n">
        <v>6.8</v>
      </c>
      <c r="L67" s="11" t="n">
        <f aca="false">IFERROR(AVERAGE(D67:K67),"")</f>
        <v>7.5125</v>
      </c>
    </row>
    <row r="68" customFormat="false" ht="21.75" hidden="false" customHeight="true" outlineLevel="0" collapsed="false">
      <c r="A68" s="9" t="s">
        <v>465</v>
      </c>
      <c r="B68" s="10" t="s">
        <v>731</v>
      </c>
      <c r="C68" s="9" t="s">
        <v>727</v>
      </c>
      <c r="D68" s="9" t="n">
        <v>5.6</v>
      </c>
      <c r="E68" s="9" t="n">
        <v>9.1</v>
      </c>
      <c r="F68" s="9" t="n">
        <v>5.4</v>
      </c>
      <c r="G68" s="9" t="n">
        <v>5.3</v>
      </c>
      <c r="H68" s="9" t="n">
        <v>6.2</v>
      </c>
      <c r="I68" s="9" t="n">
        <v>5.6</v>
      </c>
      <c r="J68" s="9" t="n">
        <v>7</v>
      </c>
      <c r="K68" s="9" t="n">
        <v>6.2</v>
      </c>
      <c r="L68" s="9" t="n">
        <f aca="false">IFERROR(AVERAGE(D68:K68),"")</f>
        <v>6.3</v>
      </c>
    </row>
    <row r="69" customFormat="false" ht="21.75" hidden="false" customHeight="true" outlineLevel="0" collapsed="false">
      <c r="A69" s="11" t="s">
        <v>471</v>
      </c>
      <c r="B69" s="12" t="s">
        <v>732</v>
      </c>
      <c r="C69" s="11" t="s">
        <v>727</v>
      </c>
      <c r="D69" s="11" t="n">
        <v>9.6</v>
      </c>
      <c r="E69" s="11" t="n">
        <v>9.5</v>
      </c>
      <c r="F69" s="11" t="n">
        <v>8.7</v>
      </c>
      <c r="G69" s="11" t="n">
        <v>9.5</v>
      </c>
      <c r="H69" s="11" t="n">
        <v>8.8</v>
      </c>
      <c r="I69" s="11" t="n">
        <v>7.9</v>
      </c>
      <c r="J69" s="11" t="n">
        <v>7.9</v>
      </c>
      <c r="K69" s="11" t="n">
        <v>9.8</v>
      </c>
      <c r="L69" s="11" t="n">
        <f aca="false">IFERROR(AVERAGE(D69:K69),"")</f>
        <v>8.9625</v>
      </c>
    </row>
    <row r="70" customFormat="false" ht="21.75" hidden="false" customHeight="true" outlineLevel="0" collapsed="false">
      <c r="A70" s="9" t="s">
        <v>474</v>
      </c>
      <c r="B70" s="10" t="s">
        <v>212</v>
      </c>
      <c r="C70" s="9" t="s">
        <v>727</v>
      </c>
      <c r="D70" s="9" t="n">
        <v>8.1</v>
      </c>
      <c r="E70" s="9" t="n">
        <v>9.4</v>
      </c>
      <c r="F70" s="9" t="n">
        <v>6.3</v>
      </c>
      <c r="G70" s="9" t="n">
        <v>6.2</v>
      </c>
      <c r="H70" s="9" t="n">
        <v>4.1</v>
      </c>
      <c r="I70" s="9" t="n">
        <v>4.3</v>
      </c>
      <c r="J70" s="9" t="n">
        <v>7.7</v>
      </c>
      <c r="K70" s="9" t="n">
        <v>7.5</v>
      </c>
      <c r="L70" s="9" t="n">
        <f aca="false">IFERROR(AVERAGE(D70:K70),"")</f>
        <v>6.7</v>
      </c>
    </row>
    <row r="71" customFormat="false" ht="21.75" hidden="false" customHeight="true" outlineLevel="0" collapsed="false">
      <c r="A71" s="11" t="s">
        <v>479</v>
      </c>
      <c r="B71" s="12" t="s">
        <v>733</v>
      </c>
      <c r="C71" s="11" t="s">
        <v>727</v>
      </c>
      <c r="D71" s="11" t="n">
        <v>9.9</v>
      </c>
      <c r="E71" s="11" t="n">
        <v>9.9</v>
      </c>
      <c r="F71" s="11" t="n">
        <v>8.6</v>
      </c>
      <c r="G71" s="11" t="n">
        <v>8.9</v>
      </c>
      <c r="H71" s="11" t="n">
        <v>9.2</v>
      </c>
      <c r="I71" s="11" t="n">
        <v>9.3</v>
      </c>
      <c r="J71" s="11" t="n">
        <v>9.9</v>
      </c>
      <c r="K71" s="11" t="n">
        <v>10</v>
      </c>
      <c r="L71" s="11" t="n">
        <f aca="false">IFERROR(AVERAGE(D71:K71),"")</f>
        <v>9.4625</v>
      </c>
    </row>
    <row r="72" customFormat="false" ht="21.75" hidden="false" customHeight="true" outlineLevel="0" collapsed="false">
      <c r="A72" s="9" t="s">
        <v>481</v>
      </c>
      <c r="B72" s="10" t="s">
        <v>734</v>
      </c>
      <c r="C72" s="9" t="s">
        <v>727</v>
      </c>
      <c r="D72" s="9" t="n">
        <v>10</v>
      </c>
      <c r="E72" s="9" t="n">
        <v>8.8</v>
      </c>
      <c r="F72" s="9" t="n">
        <v>7.2</v>
      </c>
      <c r="G72" s="9" t="n">
        <v>8.9</v>
      </c>
      <c r="H72" s="9" t="n">
        <v>7.3</v>
      </c>
      <c r="I72" s="9" t="n">
        <v>10</v>
      </c>
      <c r="J72" s="9" t="n">
        <v>8</v>
      </c>
      <c r="K72" s="9" t="n">
        <v>9.5</v>
      </c>
      <c r="L72" s="9" t="n">
        <f aca="false">IFERROR(AVERAGE(D72:K72),"")</f>
        <v>8.7125</v>
      </c>
    </row>
    <row r="73" customFormat="false" ht="21.75" hidden="false" customHeight="true" outlineLevel="0" collapsed="false">
      <c r="A73" s="11" t="s">
        <v>484</v>
      </c>
      <c r="B73" s="12" t="s">
        <v>610</v>
      </c>
      <c r="C73" s="11" t="s">
        <v>727</v>
      </c>
      <c r="D73" s="11" t="n">
        <v>10</v>
      </c>
      <c r="E73" s="11" t="n">
        <v>9.2</v>
      </c>
      <c r="F73" s="11" t="n">
        <v>7.9</v>
      </c>
      <c r="G73" s="11" t="n">
        <v>8.9</v>
      </c>
      <c r="H73" s="11" t="n">
        <v>7.1</v>
      </c>
      <c r="I73" s="11" t="n">
        <v>8.1</v>
      </c>
      <c r="J73" s="11" t="n">
        <v>6.5</v>
      </c>
      <c r="K73" s="11" t="n">
        <v>8.3</v>
      </c>
      <c r="L73" s="11" t="n">
        <f aca="false">IFERROR(AVERAGE(D73:K73),"")</f>
        <v>8.25</v>
      </c>
    </row>
    <row r="74" customFormat="false" ht="21.75" hidden="false" customHeight="true" outlineLevel="0" collapsed="false">
      <c r="A74" s="9" t="s">
        <v>488</v>
      </c>
      <c r="B74" s="10" t="s">
        <v>735</v>
      </c>
      <c r="C74" s="9" t="s">
        <v>727</v>
      </c>
      <c r="D74" s="9" t="n">
        <v>9.4</v>
      </c>
      <c r="E74" s="9" t="n">
        <v>7.6</v>
      </c>
      <c r="F74" s="9" t="n">
        <v>9.4</v>
      </c>
      <c r="G74" s="9" t="n">
        <v>9.2</v>
      </c>
      <c r="H74" s="9" t="n">
        <v>9.7</v>
      </c>
      <c r="I74" s="9" t="n">
        <v>7</v>
      </c>
      <c r="J74" s="9" t="n">
        <v>7</v>
      </c>
      <c r="K74" s="9" t="n">
        <v>10</v>
      </c>
      <c r="L74" s="9" t="n">
        <f aca="false">IFERROR(AVERAGE(D74:K74),"")</f>
        <v>8.6625</v>
      </c>
    </row>
    <row r="75" customFormat="false" ht="14.25" hidden="false" customHeight="false" outlineLevel="0" collapsed="false">
      <c r="A75" s="11" t="s">
        <v>491</v>
      </c>
      <c r="B75" s="12" t="s">
        <v>736</v>
      </c>
      <c r="C75" s="11" t="s">
        <v>727</v>
      </c>
      <c r="D75" s="11" t="n">
        <v>10</v>
      </c>
      <c r="E75" s="11" t="n">
        <v>9.4</v>
      </c>
      <c r="F75" s="11" t="n">
        <v>4</v>
      </c>
      <c r="G75" s="11" t="n">
        <v>6.6</v>
      </c>
      <c r="H75" s="11" t="n">
        <v>9</v>
      </c>
      <c r="I75" s="11" t="n">
        <v>9.8</v>
      </c>
      <c r="J75" s="11" t="n">
        <v>9</v>
      </c>
      <c r="K75" s="11" t="n">
        <v>7</v>
      </c>
      <c r="L75" s="11" t="n">
        <f aca="false">IFERROR(AVERAGE(D75:K75),"")</f>
        <v>8.1</v>
      </c>
    </row>
    <row r="76" customFormat="false" ht="14.25" hidden="false" customHeight="false" outlineLevel="0" collapsed="false">
      <c r="A76" s="9" t="s">
        <v>494</v>
      </c>
      <c r="B76" s="10" t="s">
        <v>737</v>
      </c>
      <c r="C76" s="9" t="s">
        <v>727</v>
      </c>
      <c r="D76" s="9" t="n">
        <v>8.2</v>
      </c>
      <c r="E76" s="9" t="n">
        <v>7.2</v>
      </c>
      <c r="F76" s="9" t="n">
        <v>5.7</v>
      </c>
      <c r="G76" s="9" t="n">
        <v>8.6</v>
      </c>
      <c r="H76" s="9" t="n">
        <v>2.9</v>
      </c>
      <c r="I76" s="9" t="n">
        <v>8</v>
      </c>
      <c r="J76" s="9" t="n">
        <v>7.5</v>
      </c>
      <c r="K76" s="9" t="n">
        <v>5.6</v>
      </c>
      <c r="L76" s="9" t="n">
        <f aca="false">IFERROR(AVERAGE(D76:K76),"")</f>
        <v>6.7125</v>
      </c>
    </row>
    <row r="77" customFormat="false" ht="14.25" hidden="false" customHeight="false" outlineLevel="0" collapsed="false">
      <c r="A77" s="11" t="s">
        <v>498</v>
      </c>
      <c r="B77" s="12" t="s">
        <v>738</v>
      </c>
      <c r="C77" s="11" t="s">
        <v>727</v>
      </c>
      <c r="D77" s="11" t="n">
        <v>7.5</v>
      </c>
      <c r="E77" s="11" t="n">
        <v>5.7</v>
      </c>
      <c r="F77" s="11" t="n">
        <v>5.9</v>
      </c>
      <c r="G77" s="11" t="n">
        <v>8.3</v>
      </c>
      <c r="H77" s="11" t="n">
        <v>6</v>
      </c>
      <c r="I77" s="11" t="n">
        <v>6.1</v>
      </c>
      <c r="J77" s="11" t="n">
        <v>7.9</v>
      </c>
      <c r="K77" s="11" t="n">
        <v>7.1</v>
      </c>
      <c r="L77" s="11" t="n">
        <f aca="false">IFERROR(AVERAGE(D77:K77),"")</f>
        <v>6.8125</v>
      </c>
    </row>
    <row r="78" customFormat="false" ht="14.25" hidden="false" customHeight="false" outlineLevel="0" collapsed="false">
      <c r="A78" s="9" t="s">
        <v>500</v>
      </c>
      <c r="B78" s="10" t="s">
        <v>480</v>
      </c>
      <c r="C78" s="9" t="s">
        <v>727</v>
      </c>
      <c r="D78" s="9" t="n">
        <v>8.1</v>
      </c>
      <c r="E78" s="9" t="n">
        <v>9.2</v>
      </c>
      <c r="F78" s="9" t="n">
        <v>7.6</v>
      </c>
      <c r="G78" s="9" t="n">
        <v>8.8</v>
      </c>
      <c r="H78" s="9" t="n">
        <v>6.8</v>
      </c>
      <c r="I78" s="9" t="n">
        <v>8</v>
      </c>
      <c r="J78" s="9" t="n">
        <v>8.1</v>
      </c>
      <c r="K78" s="9" t="n">
        <v>6.8</v>
      </c>
      <c r="L78" s="9" t="n">
        <f aca="false">IFERROR(AVERAGE(D78:K78),"")</f>
        <v>7.925</v>
      </c>
    </row>
    <row r="79" customFormat="false" ht="14.25" hidden="false" customHeight="false" outlineLevel="0" collapsed="false">
      <c r="A79" s="11" t="s">
        <v>505</v>
      </c>
      <c r="B79" s="12" t="s">
        <v>739</v>
      </c>
      <c r="C79" s="11" t="s">
        <v>740</v>
      </c>
      <c r="D79" s="11" t="n">
        <v>8.9</v>
      </c>
      <c r="E79" s="11" t="n">
        <v>10</v>
      </c>
      <c r="F79" s="11" t="n">
        <v>10</v>
      </c>
      <c r="G79" s="11" t="n">
        <v>8.6</v>
      </c>
      <c r="H79" s="11" t="n">
        <v>10</v>
      </c>
      <c r="I79" s="11" t="n">
        <v>10</v>
      </c>
      <c r="J79" s="11" t="n">
        <v>9.1</v>
      </c>
      <c r="K79" s="11" t="n">
        <v>6.9</v>
      </c>
      <c r="L79" s="11" t="n">
        <f aca="false">IFERROR(AVERAGE(D79:K79),"")</f>
        <v>9.1875</v>
      </c>
    </row>
    <row r="80" customFormat="false" ht="14.25" hidden="false" customHeight="false" outlineLevel="0" collapsed="false">
      <c r="A80" s="9" t="s">
        <v>514</v>
      </c>
      <c r="B80" s="10" t="s">
        <v>741</v>
      </c>
      <c r="C80" s="9" t="s">
        <v>740</v>
      </c>
      <c r="D80" s="9" t="n">
        <v>10</v>
      </c>
      <c r="E80" s="9" t="n">
        <v>8.7</v>
      </c>
      <c r="F80" s="9" t="n">
        <v>9.9</v>
      </c>
      <c r="G80" s="9" t="n">
        <v>9.7</v>
      </c>
      <c r="H80" s="9" t="n">
        <v>7.8</v>
      </c>
      <c r="I80" s="9" t="n">
        <v>10</v>
      </c>
      <c r="J80" s="9" t="n">
        <v>9.4</v>
      </c>
      <c r="K80" s="9" t="n">
        <v>6</v>
      </c>
      <c r="L80" s="9" t="n">
        <f aca="false">IFERROR(AVERAGE(D80:K80),"")</f>
        <v>8.9375</v>
      </c>
    </row>
    <row r="81" customFormat="false" ht="14.25" hidden="false" customHeight="false" outlineLevel="0" collapsed="false">
      <c r="A81" s="11" t="s">
        <v>523</v>
      </c>
      <c r="B81" s="12" t="s">
        <v>742</v>
      </c>
      <c r="C81" s="11" t="s">
        <v>740</v>
      </c>
      <c r="D81" s="11" t="n">
        <v>7.4</v>
      </c>
      <c r="E81" s="11" t="n">
        <v>7.6</v>
      </c>
      <c r="F81" s="11" t="n">
        <v>7.4</v>
      </c>
      <c r="G81" s="11" t="n">
        <v>7.6</v>
      </c>
      <c r="H81" s="11" t="n">
        <v>6.1</v>
      </c>
      <c r="I81" s="11" t="n">
        <v>9</v>
      </c>
      <c r="J81" s="11" t="n">
        <v>6.7</v>
      </c>
      <c r="K81" s="11" t="n">
        <v>6</v>
      </c>
      <c r="L81" s="11" t="n">
        <f aca="false">IFERROR(AVERAGE(D81:K81),"")</f>
        <v>7.225</v>
      </c>
    </row>
    <row r="82" customFormat="false" ht="14.25" hidden="false" customHeight="false" outlineLevel="0" collapsed="false">
      <c r="A82" s="9" t="s">
        <v>527</v>
      </c>
      <c r="B82" s="10" t="s">
        <v>218</v>
      </c>
      <c r="C82" s="9" t="s">
        <v>740</v>
      </c>
      <c r="D82" s="9" t="n">
        <v>10</v>
      </c>
      <c r="E82" s="9" t="n">
        <v>9.9</v>
      </c>
      <c r="F82" s="9" t="n">
        <v>8.5</v>
      </c>
      <c r="G82" s="9" t="n">
        <v>10</v>
      </c>
      <c r="H82" s="9" t="n">
        <v>6.3</v>
      </c>
      <c r="I82" s="9" t="n">
        <v>10</v>
      </c>
      <c r="J82" s="9" t="n">
        <v>8.5</v>
      </c>
      <c r="K82" s="9" t="n">
        <v>9.6</v>
      </c>
      <c r="L82" s="9" t="n">
        <f aca="false">IFERROR(AVERAGE(D82:K82),"")</f>
        <v>9.1</v>
      </c>
    </row>
    <row r="83" customFormat="false" ht="14.25" hidden="false" customHeight="false" outlineLevel="0" collapsed="false">
      <c r="A83" s="11" t="s">
        <v>532</v>
      </c>
      <c r="B83" s="12" t="s">
        <v>743</v>
      </c>
      <c r="C83" s="11" t="s">
        <v>740</v>
      </c>
      <c r="D83" s="11" t="n">
        <v>7.2</v>
      </c>
      <c r="E83" s="11" t="n">
        <v>5.3</v>
      </c>
      <c r="F83" s="11" t="n">
        <v>6.8</v>
      </c>
      <c r="G83" s="11" t="n">
        <v>5.5</v>
      </c>
      <c r="H83" s="11" t="n">
        <v>5.6</v>
      </c>
      <c r="I83" s="11" t="n">
        <v>5.6</v>
      </c>
      <c r="J83" s="11" t="n">
        <v>8.8</v>
      </c>
      <c r="K83" s="11" t="n">
        <v>7.1</v>
      </c>
      <c r="L83" s="11" t="n">
        <f aca="false">IFERROR(AVERAGE(D83:K83),"")</f>
        <v>6.4875</v>
      </c>
    </row>
    <row r="84" customFormat="false" ht="14.25" hidden="false" customHeight="false" outlineLevel="0" collapsed="false">
      <c r="A84" s="9" t="s">
        <v>540</v>
      </c>
      <c r="B84" s="10" t="s">
        <v>170</v>
      </c>
      <c r="C84" s="9" t="s">
        <v>740</v>
      </c>
      <c r="D84" s="9" t="n">
        <v>8.3</v>
      </c>
      <c r="E84" s="9" t="n">
        <v>10</v>
      </c>
      <c r="F84" s="9" t="n">
        <v>8.4</v>
      </c>
      <c r="G84" s="9" t="n">
        <v>8.9</v>
      </c>
      <c r="H84" s="9" t="n">
        <v>8.6</v>
      </c>
      <c r="I84" s="9" t="n">
        <v>7.3</v>
      </c>
      <c r="J84" s="9" t="n">
        <v>7</v>
      </c>
      <c r="K84" s="9" t="n">
        <v>7.1</v>
      </c>
      <c r="L84" s="9" t="n">
        <f aca="false">IFERROR(AVERAGE(D84:K84),"")</f>
        <v>8.2</v>
      </c>
    </row>
    <row r="85" customFormat="false" ht="14.25" hidden="false" customHeight="false" outlineLevel="0" collapsed="false">
      <c r="A85" s="11" t="s">
        <v>544</v>
      </c>
      <c r="B85" s="12" t="s">
        <v>744</v>
      </c>
      <c r="C85" s="11" t="s">
        <v>740</v>
      </c>
      <c r="D85" s="11" t="n">
        <v>7.6</v>
      </c>
      <c r="E85" s="11" t="n">
        <v>9</v>
      </c>
      <c r="F85" s="11" t="n">
        <v>7.3</v>
      </c>
      <c r="G85" s="11" t="n">
        <v>7.3</v>
      </c>
      <c r="H85" s="11" t="n">
        <v>9.8</v>
      </c>
      <c r="I85" s="11" t="n">
        <v>9.6</v>
      </c>
      <c r="J85" s="11" t="n">
        <v>8.4</v>
      </c>
      <c r="K85" s="11" t="n">
        <v>8.2</v>
      </c>
      <c r="L85" s="11" t="n">
        <f aca="false">IFERROR(AVERAGE(D85:K85),"")</f>
        <v>8.4</v>
      </c>
    </row>
    <row r="86" customFormat="false" ht="14.25" hidden="false" customHeight="false" outlineLevel="0" collapsed="false">
      <c r="A86" s="9" t="s">
        <v>551</v>
      </c>
      <c r="B86" s="10" t="s">
        <v>745</v>
      </c>
      <c r="C86" s="9" t="s">
        <v>740</v>
      </c>
      <c r="D86" s="9" t="n">
        <v>8.8</v>
      </c>
      <c r="E86" s="9" t="n">
        <v>7.8</v>
      </c>
      <c r="F86" s="9" t="n">
        <v>10</v>
      </c>
      <c r="G86" s="9" t="n">
        <v>8</v>
      </c>
      <c r="H86" s="9" t="n">
        <v>8.6</v>
      </c>
      <c r="I86" s="9" t="n">
        <v>10</v>
      </c>
      <c r="J86" s="9" t="n">
        <v>9.6</v>
      </c>
      <c r="K86" s="9" t="n">
        <v>9.1</v>
      </c>
      <c r="L86" s="9" t="n">
        <f aca="false">IFERROR(AVERAGE(D86:K86),"")</f>
        <v>8.9875</v>
      </c>
    </row>
    <row r="87" customFormat="false" ht="14.25" hidden="false" customHeight="false" outlineLevel="0" collapsed="false">
      <c r="A87" s="11" t="s">
        <v>554</v>
      </c>
      <c r="B87" s="12" t="s">
        <v>746</v>
      </c>
      <c r="C87" s="11" t="s">
        <v>740</v>
      </c>
      <c r="D87" s="11" t="n">
        <v>10</v>
      </c>
      <c r="E87" s="11" t="n">
        <v>10</v>
      </c>
      <c r="F87" s="11" t="n">
        <v>8.7</v>
      </c>
      <c r="G87" s="11" t="n">
        <v>10</v>
      </c>
      <c r="H87" s="11" t="n">
        <v>9.3</v>
      </c>
      <c r="I87" s="11" t="n">
        <v>10</v>
      </c>
      <c r="J87" s="11" t="n">
        <v>9.1</v>
      </c>
      <c r="K87" s="11" t="n">
        <v>9.1</v>
      </c>
      <c r="L87" s="11" t="n">
        <f aca="false">IFERROR(AVERAGE(D87:K87),"")</f>
        <v>9.525</v>
      </c>
    </row>
    <row r="88" customFormat="false" ht="14.25" hidden="false" customHeight="false" outlineLevel="0" collapsed="false">
      <c r="A88" s="9" t="s">
        <v>560</v>
      </c>
      <c r="B88" s="10" t="s">
        <v>747</v>
      </c>
      <c r="C88" s="9" t="s">
        <v>740</v>
      </c>
      <c r="D88" s="9" t="n">
        <v>6.1</v>
      </c>
      <c r="E88" s="9" t="n">
        <v>7.8</v>
      </c>
      <c r="F88" s="9" t="n">
        <v>6.7</v>
      </c>
      <c r="G88" s="9" t="n">
        <v>6</v>
      </c>
      <c r="H88" s="9" t="n">
        <v>4.9</v>
      </c>
      <c r="I88" s="9" t="n">
        <v>5</v>
      </c>
      <c r="J88" s="9" t="n">
        <v>8.8</v>
      </c>
      <c r="K88" s="9" t="n">
        <v>6.5</v>
      </c>
      <c r="L88" s="9" t="n">
        <f aca="false">IFERROR(AVERAGE(D88:K88),"")</f>
        <v>6.475</v>
      </c>
    </row>
    <row r="89" customFormat="false" ht="14.25" hidden="false" customHeight="false" outlineLevel="0" collapsed="false">
      <c r="A89" s="11" t="s">
        <v>565</v>
      </c>
      <c r="B89" s="12" t="s">
        <v>748</v>
      </c>
      <c r="C89" s="11" t="s">
        <v>740</v>
      </c>
      <c r="D89" s="11" t="n">
        <v>7.5</v>
      </c>
      <c r="E89" s="11" t="n">
        <v>7.8</v>
      </c>
      <c r="F89" s="11" t="n">
        <v>6.9</v>
      </c>
      <c r="G89" s="11" t="n">
        <v>6.7</v>
      </c>
      <c r="H89" s="11" t="n">
        <v>5.4</v>
      </c>
      <c r="I89" s="11" t="n">
        <v>4.5</v>
      </c>
      <c r="J89" s="11" t="n">
        <v>8.7</v>
      </c>
      <c r="K89" s="11" t="n">
        <v>6.4</v>
      </c>
      <c r="L89" s="11" t="n">
        <f aca="false">IFERROR(AVERAGE(D89:K89),"")</f>
        <v>6.7375</v>
      </c>
    </row>
    <row r="90" customFormat="false" ht="14.25" hidden="false" customHeight="false" outlineLevel="0" collapsed="false">
      <c r="A90" s="9" t="s">
        <v>569</v>
      </c>
      <c r="B90" s="10" t="s">
        <v>749</v>
      </c>
      <c r="C90" s="9" t="s">
        <v>740</v>
      </c>
      <c r="D90" s="9" t="n">
        <v>9.5</v>
      </c>
      <c r="E90" s="9" t="n">
        <v>9.4</v>
      </c>
      <c r="F90" s="9" t="n">
        <v>7.6</v>
      </c>
      <c r="G90" s="9" t="n">
        <v>10</v>
      </c>
      <c r="H90" s="9" t="n">
        <v>10</v>
      </c>
      <c r="I90" s="9" t="n">
        <v>9.8</v>
      </c>
      <c r="J90" s="9" t="n">
        <v>9</v>
      </c>
      <c r="K90" s="9" t="n">
        <v>9.1</v>
      </c>
      <c r="L90" s="9" t="n">
        <f aca="false">IFERROR(AVERAGE(D90:K90),"")</f>
        <v>9.3</v>
      </c>
    </row>
    <row r="91" customFormat="false" ht="14.25" hidden="false" customHeight="false" outlineLevel="0" collapsed="false">
      <c r="A91" s="11" t="s">
        <v>572</v>
      </c>
      <c r="B91" s="12" t="s">
        <v>750</v>
      </c>
      <c r="C91" s="11" t="s">
        <v>740</v>
      </c>
      <c r="D91" s="11" t="n">
        <v>9.5</v>
      </c>
      <c r="E91" s="11" t="n">
        <v>7.1</v>
      </c>
      <c r="F91" s="11" t="n">
        <v>10</v>
      </c>
      <c r="G91" s="11" t="n">
        <v>10</v>
      </c>
      <c r="H91" s="11" t="n">
        <v>10</v>
      </c>
      <c r="I91" s="11" t="n">
        <v>10</v>
      </c>
      <c r="J91" s="11" t="n">
        <v>10</v>
      </c>
      <c r="K91" s="11" t="n">
        <v>9.6</v>
      </c>
      <c r="L91" s="11" t="n">
        <f aca="false">IFERROR(AVERAGE(D91:K91),"")</f>
        <v>9.525</v>
      </c>
    </row>
    <row r="92" customFormat="false" ht="14.25" hidden="false" customHeight="false" outlineLevel="0" collapsed="false">
      <c r="A92" s="9" t="s">
        <v>575</v>
      </c>
      <c r="B92" s="10" t="s">
        <v>751</v>
      </c>
      <c r="C92" s="9" t="s">
        <v>740</v>
      </c>
      <c r="D92" s="9" t="n">
        <v>6.2</v>
      </c>
      <c r="E92" s="9" t="n">
        <v>9.5</v>
      </c>
      <c r="F92" s="9" t="n">
        <v>7.7</v>
      </c>
      <c r="G92" s="9" t="n">
        <v>7.5</v>
      </c>
      <c r="H92" s="9" t="n">
        <v>5.5</v>
      </c>
      <c r="I92" s="9" t="n">
        <v>9.3</v>
      </c>
      <c r="J92" s="9" t="n">
        <v>8.7</v>
      </c>
      <c r="K92" s="9" t="n">
        <v>7.4</v>
      </c>
      <c r="L92" s="9" t="n">
        <f aca="false">IFERROR(AVERAGE(D92:K92),"")</f>
        <v>7.725</v>
      </c>
    </row>
    <row r="93" customFormat="false" ht="14.25" hidden="false" customHeight="false" outlineLevel="0" collapsed="false">
      <c r="A93" s="11" t="s">
        <v>577</v>
      </c>
      <c r="B93" s="12" t="s">
        <v>752</v>
      </c>
      <c r="C93" s="11" t="s">
        <v>740</v>
      </c>
      <c r="D93" s="11" t="n">
        <v>10</v>
      </c>
      <c r="E93" s="11" t="n">
        <v>10</v>
      </c>
      <c r="F93" s="11" t="n">
        <v>8</v>
      </c>
      <c r="G93" s="11" t="n">
        <v>8.2</v>
      </c>
      <c r="H93" s="11" t="n">
        <v>10</v>
      </c>
      <c r="I93" s="11" t="n">
        <v>9</v>
      </c>
      <c r="J93" s="11" t="n">
        <v>9.1</v>
      </c>
      <c r="K93" s="11" t="n">
        <v>10</v>
      </c>
      <c r="L93" s="11" t="n">
        <f aca="false">IFERROR(AVERAGE(D93:K93),"")</f>
        <v>9.2875</v>
      </c>
    </row>
    <row r="94" customFormat="false" ht="14.25" hidden="false" customHeight="false" outlineLevel="0" collapsed="false">
      <c r="A94" s="9" t="s">
        <v>581</v>
      </c>
      <c r="B94" s="10" t="s">
        <v>753</v>
      </c>
      <c r="C94" s="9" t="s">
        <v>740</v>
      </c>
      <c r="D94" s="9" t="n">
        <v>9.3</v>
      </c>
      <c r="E94" s="9" t="n">
        <v>9.6</v>
      </c>
      <c r="F94" s="9" t="n">
        <v>6.9</v>
      </c>
      <c r="G94" s="9" t="n">
        <v>7</v>
      </c>
      <c r="H94" s="9" t="n">
        <v>8.3</v>
      </c>
      <c r="I94" s="9" t="n">
        <v>6.5</v>
      </c>
      <c r="J94" s="9" t="n">
        <v>9.4</v>
      </c>
      <c r="K94" s="9" t="n">
        <v>6.4</v>
      </c>
      <c r="L94" s="9" t="n">
        <f aca="false">IFERROR(AVERAGE(D94:K94),"")</f>
        <v>7.925</v>
      </c>
    </row>
    <row r="95" customFormat="false" ht="14.25" hidden="false" customHeight="false" outlineLevel="0" collapsed="false">
      <c r="A95" s="11" t="s">
        <v>583</v>
      </c>
      <c r="B95" s="12" t="s">
        <v>754</v>
      </c>
      <c r="C95" s="11" t="s">
        <v>740</v>
      </c>
      <c r="D95" s="11" t="n">
        <v>8.2</v>
      </c>
      <c r="E95" s="11" t="n">
        <v>10</v>
      </c>
      <c r="F95" s="11" t="n">
        <v>5.5</v>
      </c>
      <c r="G95" s="11" t="n">
        <v>7.5</v>
      </c>
      <c r="H95" s="11" t="n">
        <v>7</v>
      </c>
      <c r="I95" s="11" t="n">
        <v>8.8</v>
      </c>
      <c r="J95" s="11" t="n">
        <v>10</v>
      </c>
      <c r="K95" s="11" t="n">
        <v>6.2</v>
      </c>
      <c r="L95" s="11" t="n">
        <f aca="false">IFERROR(AVERAGE(D95:K95),"")</f>
        <v>7.9</v>
      </c>
    </row>
    <row r="96" customFormat="false" ht="14.25" hidden="false" customHeight="false" outlineLevel="0" collapsed="false">
      <c r="A96" s="9" t="s">
        <v>588</v>
      </c>
      <c r="B96" s="10" t="s">
        <v>755</v>
      </c>
      <c r="C96" s="9" t="s">
        <v>740</v>
      </c>
      <c r="D96" s="9" t="n">
        <v>8.6</v>
      </c>
      <c r="E96" s="9" t="n">
        <v>9.1</v>
      </c>
      <c r="F96" s="9" t="n">
        <v>7.4</v>
      </c>
      <c r="G96" s="9" t="n">
        <v>8.8</v>
      </c>
      <c r="H96" s="9" t="n">
        <v>4.4</v>
      </c>
      <c r="I96" s="9" t="n">
        <v>8.6</v>
      </c>
      <c r="J96" s="9" t="n">
        <v>10</v>
      </c>
      <c r="K96" s="9" t="n">
        <v>9.3</v>
      </c>
      <c r="L96" s="9" t="n">
        <f aca="false">IFERROR(AVERAGE(D96:K96),"")</f>
        <v>8.275</v>
      </c>
    </row>
    <row r="97" customFormat="false" ht="14.25" hidden="false" customHeight="false" outlineLevel="0" collapsed="false">
      <c r="A97" s="11" t="s">
        <v>590</v>
      </c>
      <c r="B97" s="12" t="s">
        <v>756</v>
      </c>
      <c r="C97" s="11" t="s">
        <v>740</v>
      </c>
      <c r="D97" s="11" t="n">
        <v>10</v>
      </c>
      <c r="E97" s="11" t="n">
        <v>10</v>
      </c>
      <c r="F97" s="11" t="n">
        <v>6.5</v>
      </c>
      <c r="G97" s="11" t="n">
        <v>7.1</v>
      </c>
      <c r="H97" s="11" t="n">
        <v>6</v>
      </c>
      <c r="I97" s="11" t="n">
        <v>6.5</v>
      </c>
      <c r="J97" s="11" t="n">
        <v>10</v>
      </c>
      <c r="K97" s="11" t="n">
        <v>7.4</v>
      </c>
      <c r="L97" s="11" t="n">
        <f aca="false">IFERROR(AVERAGE(D97:K97),"")</f>
        <v>7.9375</v>
      </c>
    </row>
    <row r="98" customFormat="false" ht="14.25" hidden="false" customHeight="false" outlineLevel="0" collapsed="false">
      <c r="A98" s="9" t="s">
        <v>592</v>
      </c>
      <c r="B98" s="10" t="s">
        <v>757</v>
      </c>
      <c r="C98" s="9" t="s">
        <v>740</v>
      </c>
      <c r="D98" s="9" t="n">
        <v>9.1</v>
      </c>
      <c r="E98" s="9" t="n">
        <v>8.9</v>
      </c>
      <c r="F98" s="9" t="n">
        <v>7.5</v>
      </c>
      <c r="G98" s="9" t="n">
        <v>7.9</v>
      </c>
      <c r="H98" s="9" t="n">
        <v>10</v>
      </c>
      <c r="I98" s="9" t="n">
        <v>9.2</v>
      </c>
      <c r="J98" s="9" t="n">
        <v>7.3</v>
      </c>
      <c r="K98" s="9" t="n">
        <v>7.9</v>
      </c>
      <c r="L98" s="9" t="n">
        <f aca="false">IFERROR(AVERAGE(D98:K98),"")</f>
        <v>8.475</v>
      </c>
    </row>
    <row r="99" customFormat="false" ht="14.25" hidden="false" customHeight="false" outlineLevel="0" collapsed="false">
      <c r="A99" s="11" t="s">
        <v>595</v>
      </c>
      <c r="B99" s="12" t="s">
        <v>758</v>
      </c>
      <c r="C99" s="11" t="s">
        <v>740</v>
      </c>
      <c r="D99" s="11" t="n">
        <v>5.7</v>
      </c>
      <c r="E99" s="11" t="n">
        <v>7.2</v>
      </c>
      <c r="F99" s="11" t="n">
        <v>6.9</v>
      </c>
      <c r="G99" s="11" t="n">
        <v>6.3</v>
      </c>
      <c r="H99" s="11" t="n">
        <v>4.1</v>
      </c>
      <c r="I99" s="11" t="n">
        <v>6.2</v>
      </c>
      <c r="J99" s="11" t="n">
        <v>7.2</v>
      </c>
      <c r="K99" s="11" t="n">
        <v>7.5</v>
      </c>
      <c r="L99" s="11" t="n">
        <f aca="false">IFERROR(AVERAGE(D99:K99),"")</f>
        <v>6.3875</v>
      </c>
    </row>
    <row r="100" customFormat="false" ht="14.25" hidden="false" customHeight="false" outlineLevel="0" collapsed="false">
      <c r="A100" s="9" t="s">
        <v>598</v>
      </c>
      <c r="B100" s="10" t="s">
        <v>759</v>
      </c>
      <c r="C100" s="9" t="s">
        <v>740</v>
      </c>
      <c r="D100" s="9" t="n">
        <v>8.4</v>
      </c>
      <c r="E100" s="9" t="n">
        <v>9</v>
      </c>
      <c r="F100" s="9" t="n">
        <v>9.5</v>
      </c>
      <c r="G100" s="9" t="n">
        <v>7.4</v>
      </c>
      <c r="H100" s="9" t="n">
        <v>7.3</v>
      </c>
      <c r="I100" s="9" t="n">
        <v>10</v>
      </c>
      <c r="J100" s="9" t="n">
        <v>9.4</v>
      </c>
      <c r="K100" s="9" t="n">
        <v>7.9</v>
      </c>
      <c r="L100" s="9" t="n">
        <f aca="false">IFERROR(AVERAGE(D100:K100),"")</f>
        <v>8.6125</v>
      </c>
    </row>
    <row r="101" customFormat="false" ht="14.25" hidden="false" customHeight="false" outlineLevel="0" collapsed="false">
      <c r="A101" s="11" t="s">
        <v>600</v>
      </c>
      <c r="B101" s="12" t="s">
        <v>760</v>
      </c>
      <c r="C101" s="11" t="s">
        <v>740</v>
      </c>
      <c r="D101" s="11" t="n">
        <v>10</v>
      </c>
      <c r="E101" s="11" t="n">
        <v>9.7</v>
      </c>
      <c r="F101" s="11" t="n">
        <v>7.2</v>
      </c>
      <c r="G101" s="11" t="n">
        <v>5.3</v>
      </c>
      <c r="H101" s="11" t="n">
        <v>7.9</v>
      </c>
      <c r="I101" s="11" t="n">
        <v>8.6</v>
      </c>
      <c r="J101" s="11" t="n">
        <v>7.8</v>
      </c>
      <c r="K101" s="11" t="n">
        <v>8.5</v>
      </c>
      <c r="L101" s="11" t="n">
        <f aca="false">IFERROR(AVERAGE(D101:K101),"")</f>
        <v>8.125</v>
      </c>
    </row>
    <row r="102" customFormat="false" ht="14.25" hidden="false" customHeight="false" outlineLevel="0" collapsed="false">
      <c r="A102" s="9" t="s">
        <v>604</v>
      </c>
      <c r="B102" s="10" t="s">
        <v>300</v>
      </c>
      <c r="C102" s="9" t="s">
        <v>740</v>
      </c>
      <c r="D102" s="9" t="n">
        <v>7.9</v>
      </c>
      <c r="E102" s="9" t="n">
        <v>8.2</v>
      </c>
      <c r="F102" s="9" t="n">
        <v>7.4</v>
      </c>
      <c r="G102" s="9" t="n">
        <v>5.6</v>
      </c>
      <c r="H102" s="9" t="n">
        <v>9.3</v>
      </c>
      <c r="I102" s="9" t="n">
        <v>9.7</v>
      </c>
      <c r="J102" s="9" t="n">
        <v>8.8</v>
      </c>
      <c r="K102" s="9" t="n">
        <v>7.3</v>
      </c>
      <c r="L102" s="9" t="n">
        <f aca="false">IFERROR(AVERAGE(D102:K102),"")</f>
        <v>8.025</v>
      </c>
    </row>
    <row r="103" customFormat="false" ht="14.25" hidden="false" customHeight="false" outlineLevel="0" collapsed="false">
      <c r="A103" s="11" t="s">
        <v>609</v>
      </c>
      <c r="B103" s="12" t="s">
        <v>221</v>
      </c>
      <c r="C103" s="11" t="s">
        <v>740</v>
      </c>
      <c r="D103" s="11" t="n">
        <v>10</v>
      </c>
      <c r="E103" s="11" t="n">
        <v>8.5</v>
      </c>
      <c r="F103" s="11" t="n">
        <v>7.9</v>
      </c>
      <c r="G103" s="11" t="n">
        <v>5.7</v>
      </c>
      <c r="H103" s="11" t="n">
        <v>7.7</v>
      </c>
      <c r="I103" s="11" t="n">
        <v>8.9</v>
      </c>
      <c r="J103" s="11" t="n">
        <v>9.2</v>
      </c>
      <c r="K103" s="11" t="n">
        <v>7.1</v>
      </c>
      <c r="L103" s="11" t="n">
        <f aca="false">IFERROR(AVERAGE(D103:K103),"")</f>
        <v>8.125</v>
      </c>
    </row>
    <row r="104" customFormat="false" ht="14.25" hidden="false" customHeight="false" outlineLevel="0" collapsed="false">
      <c r="A104" s="9" t="s">
        <v>611</v>
      </c>
      <c r="B104" s="10" t="s">
        <v>761</v>
      </c>
      <c r="C104" s="9" t="s">
        <v>740</v>
      </c>
      <c r="D104" s="9" t="n">
        <v>10</v>
      </c>
      <c r="E104" s="9" t="n">
        <v>7.6</v>
      </c>
      <c r="F104" s="9" t="n">
        <v>9.6</v>
      </c>
      <c r="G104" s="9" t="n">
        <v>8</v>
      </c>
      <c r="H104" s="9" t="n">
        <v>7.1</v>
      </c>
      <c r="I104" s="9" t="n">
        <v>8.8</v>
      </c>
      <c r="J104" s="9" t="n">
        <v>8.6</v>
      </c>
      <c r="K104" s="9" t="n">
        <v>6.5</v>
      </c>
      <c r="L104" s="9" t="n">
        <f aca="false">IFERROR(AVERAGE(D104:K104),"")</f>
        <v>8.275</v>
      </c>
    </row>
    <row r="105" customFormat="false" ht="14.25" hidden="false" customHeight="false" outlineLevel="0" collapsed="false">
      <c r="A105" s="11" t="s">
        <v>615</v>
      </c>
      <c r="B105" s="12" t="s">
        <v>762</v>
      </c>
      <c r="C105" s="11" t="s">
        <v>740</v>
      </c>
      <c r="D105" s="11" t="n">
        <v>8.1</v>
      </c>
      <c r="E105" s="11" t="n">
        <v>7.8</v>
      </c>
      <c r="F105" s="11" t="n">
        <v>6.1</v>
      </c>
      <c r="G105" s="11" t="n">
        <v>7.9</v>
      </c>
      <c r="H105" s="11" t="n">
        <v>4.9</v>
      </c>
      <c r="I105" s="11" t="n">
        <v>6.1</v>
      </c>
      <c r="J105" s="11" t="n">
        <v>7.4</v>
      </c>
      <c r="K105" s="11" t="n">
        <v>7.1</v>
      </c>
      <c r="L105" s="11" t="n">
        <f aca="false">IFERROR(AVERAGE(D105:K105),"")</f>
        <v>6.925</v>
      </c>
    </row>
    <row r="106" customFormat="false" ht="14.25" hidden="false" customHeight="false" outlineLevel="0" collapsed="false">
      <c r="A106" s="9" t="s">
        <v>618</v>
      </c>
      <c r="B106" s="10" t="s">
        <v>678</v>
      </c>
      <c r="C106" s="9" t="s">
        <v>740</v>
      </c>
      <c r="D106" s="9" t="n">
        <v>7.5</v>
      </c>
      <c r="E106" s="9" t="n">
        <v>8.2</v>
      </c>
      <c r="F106" s="9" t="n">
        <v>9.2</v>
      </c>
      <c r="G106" s="9" t="n">
        <v>10</v>
      </c>
      <c r="H106" s="9" t="n">
        <v>10</v>
      </c>
      <c r="I106" s="9" t="n">
        <v>9.9</v>
      </c>
      <c r="J106" s="9" t="n">
        <v>8.5</v>
      </c>
      <c r="K106" s="9" t="n">
        <v>10</v>
      </c>
      <c r="L106" s="9" t="n">
        <f aca="false">IFERROR(AVERAGE(D106:K106),"")</f>
        <v>9.1625</v>
      </c>
    </row>
    <row r="107" customFormat="false" ht="14.25" hidden="false" customHeight="false" outlineLevel="0" collapsed="false">
      <c r="A107" s="11" t="s">
        <v>621</v>
      </c>
      <c r="B107" s="12" t="s">
        <v>300</v>
      </c>
      <c r="C107" s="11" t="s">
        <v>740</v>
      </c>
      <c r="D107" s="11" t="n">
        <v>8.7</v>
      </c>
      <c r="E107" s="11" t="n">
        <v>9.6</v>
      </c>
      <c r="F107" s="11" t="n">
        <v>10</v>
      </c>
      <c r="G107" s="11" t="n">
        <v>7.8</v>
      </c>
      <c r="H107" s="11" t="n">
        <v>5.5</v>
      </c>
      <c r="I107" s="11" t="n">
        <v>8.3</v>
      </c>
      <c r="J107" s="11" t="n">
        <v>8.4</v>
      </c>
      <c r="K107" s="11" t="n">
        <v>8.3</v>
      </c>
      <c r="L107" s="11" t="n">
        <f aca="false">IFERROR(AVERAGE(D107:K107),"")</f>
        <v>8.325</v>
      </c>
    </row>
    <row r="108" customFormat="false" ht="14.25" hidden="false" customHeight="false" outlineLevel="0" collapsed="false">
      <c r="A108" s="9" t="s">
        <v>622</v>
      </c>
      <c r="B108" s="10" t="s">
        <v>763</v>
      </c>
      <c r="C108" s="9" t="s">
        <v>740</v>
      </c>
      <c r="D108" s="9" t="n">
        <v>8.7</v>
      </c>
      <c r="E108" s="9" t="n">
        <v>10</v>
      </c>
      <c r="F108" s="9" t="n">
        <v>8.8</v>
      </c>
      <c r="G108" s="9" t="n">
        <v>7.9</v>
      </c>
      <c r="H108" s="9" t="n">
        <v>10</v>
      </c>
      <c r="I108" s="9" t="n">
        <v>9.7</v>
      </c>
      <c r="J108" s="9" t="n">
        <v>5.9</v>
      </c>
      <c r="K108" s="9" t="n">
        <v>9.5</v>
      </c>
      <c r="L108" s="9" t="n">
        <f aca="false">IFERROR(AVERAGE(D108:K108),"")</f>
        <v>8.8125</v>
      </c>
    </row>
    <row r="109" customFormat="false" ht="14.25" hidden="false" customHeight="false" outlineLevel="0" collapsed="false">
      <c r="A109" s="11" t="s">
        <v>624</v>
      </c>
      <c r="B109" s="12" t="s">
        <v>689</v>
      </c>
      <c r="C109" s="11" t="s">
        <v>740</v>
      </c>
      <c r="D109" s="11" t="n">
        <v>7.8</v>
      </c>
      <c r="E109" s="11" t="n">
        <v>9.2</v>
      </c>
      <c r="F109" s="11" t="n">
        <v>10</v>
      </c>
      <c r="G109" s="11" t="n">
        <v>6.5</v>
      </c>
      <c r="H109" s="11" t="n">
        <v>8.3</v>
      </c>
      <c r="I109" s="11" t="n">
        <v>7.2</v>
      </c>
      <c r="J109" s="11" t="n">
        <v>6.9</v>
      </c>
      <c r="K109" s="11" t="n">
        <v>8.8</v>
      </c>
      <c r="L109" s="11" t="n">
        <f aca="false">IFERROR(AVERAGE(D109:K109),"")</f>
        <v>8.0875</v>
      </c>
    </row>
    <row r="110" customFormat="false" ht="14.25" hidden="false" customHeight="false" outlineLevel="0" collapsed="false">
      <c r="A110" s="9" t="s">
        <v>626</v>
      </c>
      <c r="B110" s="10" t="s">
        <v>764</v>
      </c>
      <c r="C110" s="9" t="s">
        <v>740</v>
      </c>
      <c r="D110" s="9" t="n">
        <v>8</v>
      </c>
      <c r="E110" s="9" t="n">
        <v>10</v>
      </c>
      <c r="F110" s="9" t="n">
        <v>8.3</v>
      </c>
      <c r="G110" s="9" t="n">
        <v>7.6</v>
      </c>
      <c r="H110" s="9" t="n">
        <v>5.8</v>
      </c>
      <c r="I110" s="9" t="n">
        <v>8</v>
      </c>
      <c r="J110" s="9" t="n">
        <v>8</v>
      </c>
      <c r="K110" s="9" t="n">
        <v>7.1</v>
      </c>
      <c r="L110" s="9" t="n">
        <f aca="false">IFERROR(AVERAGE(D110:K110),"")</f>
        <v>7.85</v>
      </c>
    </row>
    <row r="111" customFormat="false" ht="14.25" hidden="false" customHeight="false" outlineLevel="0" collapsed="false">
      <c r="A111" s="11" t="s">
        <v>627</v>
      </c>
      <c r="B111" s="12" t="s">
        <v>765</v>
      </c>
      <c r="C111" s="11" t="s">
        <v>740</v>
      </c>
      <c r="D111" s="11" t="n">
        <v>8</v>
      </c>
      <c r="E111" s="11" t="n">
        <v>8.3</v>
      </c>
      <c r="F111" s="11" t="n">
        <v>9.1</v>
      </c>
      <c r="G111" s="11" t="n">
        <v>8</v>
      </c>
      <c r="H111" s="11" t="n">
        <v>10</v>
      </c>
      <c r="I111" s="11" t="n">
        <v>8</v>
      </c>
      <c r="J111" s="11" t="n">
        <v>8.5</v>
      </c>
      <c r="K111" s="11" t="n">
        <v>9.6</v>
      </c>
      <c r="L111" s="11" t="n">
        <f aca="false">IFERROR(AVERAGE(D111:K111),"")</f>
        <v>8.6875</v>
      </c>
    </row>
    <row r="112" customFormat="false" ht="14.25" hidden="false" customHeight="false" outlineLevel="0" collapsed="false">
      <c r="A112" s="9" t="s">
        <v>629</v>
      </c>
      <c r="B112" s="10" t="s">
        <v>757</v>
      </c>
      <c r="C112" s="9" t="s">
        <v>740</v>
      </c>
      <c r="D112" s="9" t="n">
        <v>7.3</v>
      </c>
      <c r="E112" s="9" t="n">
        <v>9.3</v>
      </c>
      <c r="F112" s="9" t="n">
        <v>6.9</v>
      </c>
      <c r="G112" s="9" t="n">
        <v>9.9</v>
      </c>
      <c r="H112" s="9" t="n">
        <v>10</v>
      </c>
      <c r="I112" s="9" t="n">
        <v>6.2</v>
      </c>
      <c r="J112" s="9" t="n">
        <v>10</v>
      </c>
      <c r="K112" s="9" t="n">
        <v>7.8</v>
      </c>
      <c r="L112" s="9" t="n">
        <f aca="false">IFERROR(AVERAGE(D112:K112),"")</f>
        <v>8.425</v>
      </c>
    </row>
    <row r="113" customFormat="false" ht="14.25" hidden="false" customHeight="false" outlineLevel="0" collapsed="false">
      <c r="A113" s="11" t="s">
        <v>632</v>
      </c>
      <c r="B113" s="12" t="s">
        <v>766</v>
      </c>
      <c r="C113" s="11" t="s">
        <v>740</v>
      </c>
      <c r="D113" s="11" t="n">
        <v>8</v>
      </c>
      <c r="E113" s="11" t="n">
        <v>5.6</v>
      </c>
      <c r="F113" s="11" t="n">
        <v>8.2</v>
      </c>
      <c r="G113" s="11" t="n">
        <v>7.7</v>
      </c>
      <c r="H113" s="11" t="n">
        <v>6.7</v>
      </c>
      <c r="I113" s="11" t="n">
        <v>8</v>
      </c>
      <c r="J113" s="11" t="n">
        <v>10</v>
      </c>
      <c r="K113" s="11" t="n">
        <v>8</v>
      </c>
      <c r="L113" s="11" t="n">
        <f aca="false">IFERROR(AVERAGE(D113:K113),"")</f>
        <v>7.775</v>
      </c>
    </row>
  </sheetData>
  <mergeCells count="2">
    <mergeCell ref="A1:M1"/>
    <mergeCell ref="A2:M2"/>
  </mergeCells>
  <dataValidations count="2">
    <dataValidation allowBlank="true" errorStyle="stop" operator="between" showDropDown="false" showErrorMessage="false" showInputMessage="false" sqref="C4:C73" type="list">
      <formula1>"Dealer/Retailer,Contractor,Distributor/Wholesaler,Customer"</formula1>
      <formula2>0</formula2>
    </dataValidation>
    <dataValidation allowBlank="true" errorStyle="stop" operator="between" showDropDown="false" showErrorMessage="false" showInputMessage="false" sqref="D4:K73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2"/>
    <col collapsed="false" customWidth="true" hidden="false" outlineLevel="0" max="9" min="9" style="0" width="13"/>
    <col collapsed="false" customWidth="true" hidden="false" outlineLevel="0" max="11" min="10" style="0" width="14"/>
  </cols>
  <sheetData>
    <row r="1" customFormat="false" ht="31.5" hidden="false" customHeight="true" outlineLevel="0" collapsed="false">
      <c r="A1" s="28" t="s">
        <v>767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customFormat="false" ht="18" hidden="false" customHeight="true" outlineLevel="0" collapsed="false">
      <c r="A2" s="29" t="s">
        <v>768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customFormat="false" ht="19.5" hidden="false" customHeight="true" outlineLevel="0" collapsed="false">
      <c r="A3" s="30" t="s">
        <v>769</v>
      </c>
      <c r="B3" s="31" t="s">
        <v>770</v>
      </c>
      <c r="C3" s="31"/>
      <c r="D3" s="31"/>
      <c r="E3" s="31"/>
      <c r="F3" s="31"/>
      <c r="G3" s="31"/>
      <c r="H3" s="31"/>
      <c r="I3" s="31"/>
      <c r="J3" s="30" t="s">
        <v>771</v>
      </c>
      <c r="K3" s="30" t="s">
        <v>772</v>
      </c>
    </row>
    <row r="4" customFormat="false" ht="39.75" hidden="false" customHeight="true" outlineLevel="0" collapsed="false">
      <c r="A4" s="32" t="s">
        <v>773</v>
      </c>
      <c r="B4" s="32" t="s">
        <v>774</v>
      </c>
      <c r="C4" s="32" t="s">
        <v>775</v>
      </c>
      <c r="D4" s="32" t="s">
        <v>776</v>
      </c>
      <c r="E4" s="32" t="s">
        <v>777</v>
      </c>
      <c r="F4" s="32" t="s">
        <v>778</v>
      </c>
      <c r="G4" s="32" t="s">
        <v>779</v>
      </c>
      <c r="H4" s="32" t="s">
        <v>670</v>
      </c>
      <c r="I4" s="32" t="s">
        <v>780</v>
      </c>
      <c r="J4" s="33" t="s">
        <v>781</v>
      </c>
      <c r="K4" s="34" t="s">
        <v>782</v>
      </c>
    </row>
    <row r="5" customFormat="false" ht="31.5" hidden="false" customHeight="true" outlineLevel="0" collapsed="false">
      <c r="A5" s="35" t="s">
        <v>78</v>
      </c>
      <c r="B5" s="36"/>
      <c r="C5" s="36"/>
      <c r="D5" s="36"/>
      <c r="E5" s="36"/>
      <c r="F5" s="36"/>
      <c r="G5" s="36"/>
      <c r="H5" s="36"/>
      <c r="I5" s="37" t="str">
        <f aca="false">IFERROR(ROUND(AVERAGE(B5:H5),1),"")</f>
        <v/>
      </c>
      <c r="J5" s="36"/>
      <c r="K5" s="38" t="str">
        <f aca="false">IFERROR(ROUND(I5*0.5+J5*0.3,1),"")</f>
        <v/>
      </c>
    </row>
    <row r="6" customFormat="false" ht="31.5" hidden="false" customHeight="true" outlineLevel="0" collapsed="false">
      <c r="A6" s="39" t="s">
        <v>147</v>
      </c>
      <c r="B6" s="36"/>
      <c r="C6" s="36"/>
      <c r="D6" s="36"/>
      <c r="E6" s="36"/>
      <c r="F6" s="36"/>
      <c r="G6" s="36"/>
      <c r="H6" s="36"/>
      <c r="I6" s="40" t="str">
        <f aca="false">IFERROR(ROUND(AVERAGE(B6:H6),1),"")</f>
        <v/>
      </c>
      <c r="J6" s="36"/>
      <c r="K6" s="41" t="str">
        <f aca="false">IFERROR(ROUND(I6*0.5+J6*0.3,1),"")</f>
        <v/>
      </c>
    </row>
    <row r="7" customFormat="false" ht="31.5" hidden="false" customHeight="true" outlineLevel="0" collapsed="false">
      <c r="A7" s="42" t="s">
        <v>195</v>
      </c>
      <c r="B7" s="36"/>
      <c r="C7" s="36"/>
      <c r="D7" s="36"/>
      <c r="E7" s="36"/>
      <c r="F7" s="36"/>
      <c r="G7" s="36"/>
      <c r="H7" s="36"/>
      <c r="I7" s="43" t="str">
        <f aca="false">IFERROR(ROUND(AVERAGE(B7:H7),1),"")</f>
        <v/>
      </c>
      <c r="J7" s="36"/>
      <c r="K7" s="44" t="str">
        <f aca="false">IFERROR(ROUND(I7*0.5+J7*0.3,1),"")</f>
        <v/>
      </c>
    </row>
    <row r="8" customFormat="false" ht="31.5" hidden="false" customHeight="true" outlineLevel="0" collapsed="false">
      <c r="A8" s="45" t="s">
        <v>97</v>
      </c>
      <c r="B8" s="36"/>
      <c r="C8" s="36"/>
      <c r="D8" s="36"/>
      <c r="E8" s="36"/>
      <c r="F8" s="36"/>
      <c r="G8" s="36"/>
      <c r="H8" s="36"/>
      <c r="I8" s="46" t="str">
        <f aca="false">IFERROR(ROUND(AVERAGE(B8:H8),1),"")</f>
        <v/>
      </c>
      <c r="J8" s="36"/>
      <c r="K8" s="47" t="str">
        <f aca="false">IFERROR(ROUND(I8*0.5+J8*0.3,1),"")</f>
        <v/>
      </c>
    </row>
    <row r="10" customFormat="false" ht="30" hidden="false" customHeight="true" outlineLevel="0" collapsed="false">
      <c r="A10" s="6" t="s">
        <v>783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customFormat="false" ht="24" hidden="false" customHeight="true" outlineLevel="0" collapsed="false">
      <c r="A11" s="24" t="s">
        <v>784</v>
      </c>
      <c r="B11" s="48" t="str">
        <f aca="false">IFERROR(INDEX($A$5:$A$8,MATCH(MAX(B5:B8),B5:B8,0)),"-")</f>
        <v>-</v>
      </c>
      <c r="C11" s="48" t="str">
        <f aca="false">IFERROR(INDEX($A$5:$A$8,MATCH(MAX(C5:C8),C5:C8,0)),"-")</f>
        <v>-</v>
      </c>
      <c r="D11" s="48" t="str">
        <f aca="false">IFERROR(INDEX($A$5:$A$8,MATCH(MAX(D5:D8),D5:D8,0)),"-")</f>
        <v>-</v>
      </c>
      <c r="E11" s="48" t="str">
        <f aca="false">IFERROR(INDEX($A$5:$A$8,MATCH(MAX(E5:E8),E5:E8,0)),"-")</f>
        <v>-</v>
      </c>
      <c r="F11" s="48" t="str">
        <f aca="false">IFERROR(INDEX($A$5:$A$8,MATCH(MAX(F5:F8),F5:F8,0)),"-")</f>
        <v>-</v>
      </c>
      <c r="G11" s="48" t="str">
        <f aca="false">IFERROR(INDEX($A$5:$A$8,MATCH(MAX(G5:G8),G5:G8,0)),"-")</f>
        <v>-</v>
      </c>
      <c r="H11" s="48" t="str">
        <f aca="false">IFERROR(INDEX($A$5:$A$8,MATCH(MAX(H5:H8),H5:H8,0)),"-")</f>
        <v>-</v>
      </c>
      <c r="I11" s="48" t="str">
        <f aca="false">IFERROR(INDEX($A$5:$A$8,MATCH(MAX(I5:I8),I5:I8,0)),"-")</f>
        <v>-</v>
      </c>
      <c r="J11" s="48" t="str">
        <f aca="false">IFERROR(INDEX($A$5:$A$8,MATCH(MAX(J5:J8),J5:J8,0)),"-")</f>
        <v>-</v>
      </c>
      <c r="K11" s="48" t="str">
        <f aca="false">IFERROR(INDEX($A$5:$A$8,MATCH(MAX(K5:K8),K5:K8,0)),"-")</f>
        <v>-</v>
      </c>
    </row>
    <row r="22" customFormat="false" ht="14.25" hidden="false" customHeight="false" outlineLevel="0" collapsed="false">
      <c r="A22" s="49" t="s">
        <v>785</v>
      </c>
      <c r="B22" s="49" t="s">
        <v>78</v>
      </c>
      <c r="C22" s="49" t="s">
        <v>147</v>
      </c>
      <c r="D22" s="49" t="s">
        <v>195</v>
      </c>
      <c r="E22" s="49" t="s">
        <v>97</v>
      </c>
    </row>
    <row r="23" customFormat="false" ht="14.25" hidden="false" customHeight="false" outlineLevel="0" collapsed="false">
      <c r="A23" s="50" t="s">
        <v>664</v>
      </c>
      <c r="B23" s="9" t="n">
        <v>9.2</v>
      </c>
      <c r="C23" s="9" t="n">
        <v>8.6</v>
      </c>
      <c r="D23" s="9" t="n">
        <v>8.6</v>
      </c>
      <c r="E23" s="9" t="n">
        <v>6.6</v>
      </c>
    </row>
    <row r="24" customFormat="false" ht="14.25" hidden="false" customHeight="false" outlineLevel="0" collapsed="false">
      <c r="A24" s="51" t="s">
        <v>665</v>
      </c>
      <c r="B24" s="11" t="n">
        <v>8.6</v>
      </c>
      <c r="C24" s="11" t="n">
        <v>8.8</v>
      </c>
      <c r="D24" s="11" t="n">
        <v>8.2</v>
      </c>
      <c r="E24" s="11" t="n">
        <v>7.8</v>
      </c>
    </row>
    <row r="25" customFormat="false" ht="14.25" hidden="false" customHeight="false" outlineLevel="0" collapsed="false">
      <c r="A25" s="50" t="s">
        <v>666</v>
      </c>
      <c r="B25" s="9" t="n">
        <v>9.1</v>
      </c>
      <c r="C25" s="9" t="n">
        <v>7.6</v>
      </c>
      <c r="D25" s="9" t="n">
        <v>8.6</v>
      </c>
      <c r="E25" s="9" t="n">
        <v>7.4</v>
      </c>
    </row>
    <row r="26" customFormat="false" ht="14.25" hidden="false" customHeight="false" outlineLevel="0" collapsed="false">
      <c r="A26" s="51" t="s">
        <v>667</v>
      </c>
      <c r="B26" s="11" t="n">
        <v>9.1</v>
      </c>
      <c r="C26" s="11" t="n">
        <v>7.8</v>
      </c>
      <c r="D26" s="11" t="n">
        <v>7.3</v>
      </c>
      <c r="E26" s="11" t="n">
        <v>7.1</v>
      </c>
    </row>
    <row r="27" customFormat="false" ht="14.25" hidden="false" customHeight="false" outlineLevel="0" collapsed="false">
      <c r="A27" s="50" t="s">
        <v>668</v>
      </c>
      <c r="B27" s="9" t="n">
        <v>9.3</v>
      </c>
      <c r="C27" s="9" t="n">
        <v>7.4</v>
      </c>
      <c r="D27" s="9" t="n">
        <v>7.6</v>
      </c>
      <c r="E27" s="9" t="n">
        <v>7</v>
      </c>
    </row>
    <row r="28" customFormat="false" ht="14.25" hidden="false" customHeight="false" outlineLevel="0" collapsed="false">
      <c r="A28" s="51" t="s">
        <v>669</v>
      </c>
      <c r="B28" s="11" t="n">
        <v>9.1</v>
      </c>
      <c r="C28" s="11" t="n">
        <v>7.9</v>
      </c>
      <c r="D28" s="11" t="n">
        <v>8.2</v>
      </c>
      <c r="E28" s="11" t="n">
        <v>6.8</v>
      </c>
    </row>
    <row r="29" customFormat="false" ht="14.25" hidden="false" customHeight="false" outlineLevel="0" collapsed="false">
      <c r="A29" s="50" t="s">
        <v>670</v>
      </c>
      <c r="B29" s="9" t="n">
        <v>8.7</v>
      </c>
      <c r="C29" s="9" t="n">
        <v>9.1</v>
      </c>
      <c r="D29" s="9" t="n">
        <v>8.5</v>
      </c>
      <c r="E29" s="9" t="n">
        <v>7</v>
      </c>
    </row>
    <row r="30" customFormat="false" ht="14.25" hidden="false" customHeight="false" outlineLevel="0" collapsed="false">
      <c r="A30" s="51" t="s">
        <v>786</v>
      </c>
      <c r="B30" s="11" t="n">
        <v>9.6</v>
      </c>
      <c r="C30" s="11" t="n">
        <v>8.1</v>
      </c>
      <c r="D30" s="11" t="n">
        <v>7.5</v>
      </c>
      <c r="E30" s="11" t="n">
        <v>6.6</v>
      </c>
    </row>
    <row r="31" customFormat="false" ht="14.25" hidden="false" customHeight="false" outlineLevel="0" collapsed="false">
      <c r="A31" s="52" t="s">
        <v>787</v>
      </c>
      <c r="B31" s="53" t="n">
        <f aca="false">IFERROR(AVERAGE(B23:B30),"")</f>
        <v>9.0875</v>
      </c>
      <c r="C31" s="53" t="n">
        <f aca="false">IFERROR(AVERAGE(C23:C30),"")</f>
        <v>8.1625</v>
      </c>
      <c r="D31" s="53" t="n">
        <f aca="false">IFERROR(AVERAGE(D23:D30),"")</f>
        <v>8.0625</v>
      </c>
      <c r="E31" s="53" t="n">
        <f aca="false">IFERROR(AVERAGE(E23:E30),"")</f>
        <v>7.0375</v>
      </c>
    </row>
  </sheetData>
  <mergeCells count="4">
    <mergeCell ref="A1:K1"/>
    <mergeCell ref="A2:K2"/>
    <mergeCell ref="B3:I3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2026-06-01T10:36:39Z</dcterms:created>
  <dc:creator>openpyxl</dc:creator>
  <dc:description/>
  <dc:language>en-US</dc:language>
  <cp:lastModifiedBy>(JSW) Ramakant Paul</cp:lastModifiedBy>
  <dcterms:modified xsi:type="dcterms:W3CDTF">2026-06-12T10:23:37Z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